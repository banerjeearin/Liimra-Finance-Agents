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Documentation" sheetId="1" state="visible" r:id="rId3"/>
    <sheet name="⚙ Config &amp; Assumptions" sheetId="2" state="visible" r:id="rId4"/>
    <sheet name="🏪 Marketplace UE" sheetId="3" state="visible" r:id="rId5"/>
    <sheet name="🎛 What-If Model" sheetId="4" state="visible" r:id="rId6"/>
    <sheet name="📊 FY2627 Actuals" sheetId="5" state="visible" r:id="rId7"/>
    <sheet name="📊 MTD Dashboard" sheetId="6" state="visible" r:id="rId8"/>
    <sheet name="📅 Monthly Pv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<sst xmlns="http://schemas.openxmlformats.org/spreadsheetml/2006/main" count="608" uniqueCount="466">
  <si>
    <t xml:space="preserve">LIIMRA NATURALS — UNIT ECONOMICS MODEL  |  FY 2026-27</t>
  </si>
  <si>
    <t xml:space="preserve">Model Documentation, Methodology &amp; Glossary</t>
  </si>
  <si>
    <t xml:space="preserve">PURPOSE</t>
  </si>
  <si>
    <t xml:space="preserve">Scope</t>
  </si>
  <si>
    <t xml:space="preserve">This workbook models SKU-level unit economics for Liimra Naturals' Flipkart marketplace business for FY 2026-27. It is built on FY 2024-25 actuals (COGS, return rates, per-unit OpEx) layered with new selling prices and a +20% volume growth assumption.</t>
  </si>
  <si>
    <t xml:space="preserve">Sheets in this workbook</t>
  </si>
  <si>
    <t xml:space="preserve">📋 Documentation  |  📊 FY2627 Actuals  |  🎛 What-If Model  |  🏪 Marketplace UE</t>
  </si>
  <si>
    <t xml:space="preserve">MODEL ASSUMPTIONS</t>
  </si>
  <si>
    <t xml:space="preserve">Volume growth</t>
  </si>
  <si>
    <t xml:space="preserve">+20% on FY 2024-25 gross units ordered, rounded to whole units (blue hardcoded inputs)</t>
  </si>
  <si>
    <t xml:space="preserve">Selling prices</t>
  </si>
  <si>
    <t xml:space="preserve">Updated selling prices sourced from sku.xlsx (10 SKUs updated; remainder carried forward)</t>
  </si>
  <si>
    <t xml:space="preserve">COGS</t>
  </si>
  <si>
    <t xml:space="preserve">Carried forward from FY 2024-25 actuals — includes product cost + packing material</t>
  </si>
  <si>
    <t xml:space="preserve">Return rate</t>
  </si>
  <si>
    <t xml:space="preserve">8.00% flat across all SKUs (FY 2024-25 observed rate)</t>
  </si>
  <si>
    <t xml:space="preserve">Ad spend</t>
  </si>
  <si>
    <t xml:space="preserve">₹17,702 total held constant at FY 2024-25 level; allocated pro-rata by SKU net revenue share</t>
  </si>
  <si>
    <t xml:space="preserve">Fixed overheads</t>
  </si>
  <si>
    <t xml:space="preserve">₹30,000/month (Warehousing ₹10k + Salary ₹15k + Misc ₹5k) = ₹3,60,000/year</t>
  </si>
  <si>
    <t xml:space="preserve">TCS</t>
  </si>
  <si>
    <t xml:space="preserve">1% of Net Selling Price (collected by Flipkart, remittable on filing)</t>
  </si>
  <si>
    <t xml:space="preserve">TDS</t>
  </si>
  <si>
    <t xml:space="preserve">0.1% of Net Revenue (deducted by Flipkart, recoverable against advance tax)</t>
  </si>
  <si>
    <t xml:space="preserve">GST on MP fees</t>
  </si>
  <si>
    <t xml:space="preserve">18% on Flipkart fixed fee + collection fee</t>
  </si>
  <si>
    <t xml:space="preserve">METRIC DEFINITIONS</t>
  </si>
  <si>
    <t xml:space="preserve">Gross Units Ordered</t>
  </si>
  <si>
    <t xml:space="preserve">Total orders placed by customers before returns</t>
  </si>
  <si>
    <t xml:space="preserve">Net Units Sold</t>
  </si>
  <si>
    <t xml:space="preserve">Gross Units − Returns</t>
  </si>
  <si>
    <t xml:space="preserve">Net Selling Price (NSP)</t>
  </si>
  <si>
    <t xml:space="preserve">Listing price net of customer returns. Equals listing price since return-adjusted.</t>
  </si>
  <si>
    <t xml:space="preserve">Gross Revenue</t>
  </si>
  <si>
    <t xml:space="preserve">Gross Units × Listing Price</t>
  </si>
  <si>
    <t xml:space="preserve">Net Revenue</t>
  </si>
  <si>
    <t xml:space="preserve">Gross Revenue − Returns &amp; Refunds value</t>
  </si>
  <si>
    <t xml:space="preserve">COGS incl. Packing</t>
  </si>
  <si>
    <t xml:space="preserve">Direct product cost + packing per unit, carried from actuals</t>
  </si>
  <si>
    <t xml:space="preserve">Gross Profit</t>
  </si>
  <si>
    <t xml:space="preserve">Net Revenue − Total COGS</t>
  </si>
  <si>
    <t xml:space="preserve">Gross Margin %</t>
  </si>
  <si>
    <t xml:space="preserve">Gross Profit ÷ Net Revenue</t>
  </si>
  <si>
    <t xml:space="preserve">Marketplace Fees</t>
  </si>
  <si>
    <t xml:space="preserve">Flipkart fixed fee per unit (weight/category-based) + collection fee</t>
  </si>
  <si>
    <t xml:space="preserve">Logistics — Returns</t>
  </si>
  <si>
    <t xml:space="preserve">Reverse shipping cost per returned unit, allocated to net units</t>
  </si>
  <si>
    <t xml:space="preserve">Ad Spend Allocated</t>
  </si>
  <si>
    <t xml:space="preserve">SKU's share of total ad spend, pro-rated by net revenue</t>
  </si>
  <si>
    <t xml:space="preserve">Tax Collected at Source: 1% of NSP, collected by Flipkart, remitted by seller to tax dept</t>
  </si>
  <si>
    <t xml:space="preserve">GST on MP Fees</t>
  </si>
  <si>
    <t xml:space="preserve">18% GST on marketplace fees — an input cost to the seller</t>
  </si>
  <si>
    <t xml:space="preserve">Total Variable Costs excl. COGS</t>
  </si>
  <si>
    <t xml:space="preserve">Sum of: Marketplace Fees + Logistics + Ad Spend + Taxes</t>
  </si>
  <si>
    <t xml:space="preserve">Operating Profit / (Loss)</t>
  </si>
  <si>
    <t xml:space="preserve">Net Revenue − Total COGS − Total Variable Costs excl. COGS</t>
  </si>
  <si>
    <t xml:space="preserve">Operating Margin %</t>
  </si>
  <si>
    <t xml:space="preserve">Operating Profit ÷ Net Revenue</t>
  </si>
  <si>
    <t xml:space="preserve">Tax Deducted at Source: 0.1% of Net Revenue, deducted by Flipkart; recoverable</t>
  </si>
  <si>
    <t xml:space="preserve">Net Profit / (Loss)</t>
  </si>
  <si>
    <t xml:space="preserve">Operating Profit − TDS</t>
  </si>
  <si>
    <t xml:space="preserve">Net Margin %</t>
  </si>
  <si>
    <t xml:space="preserve">Net Profit ÷ Net Revenue</t>
  </si>
  <si>
    <t xml:space="preserve">Contribution per Unit</t>
  </si>
  <si>
    <t xml:space="preserve">NSP − COGS − MP Fees − Logistics − Taxes  (Ads treated as period fixed cost)</t>
  </si>
  <si>
    <t xml:space="preserve">Contribution Margin %</t>
  </si>
  <si>
    <t xml:space="preserve">Contribution per Unit ÷ NSP</t>
  </si>
  <si>
    <t xml:space="preserve">Break-Even Units (BEP)</t>
  </si>
  <si>
    <t xml:space="preserve">Total Ad Spend Allocated ÷ Contribution per Unit  (N/A if contribution ≤ 0)</t>
  </si>
  <si>
    <t xml:space="preserve">Bank Settlement per Unit</t>
  </si>
  <si>
    <t xml:space="preserve">NSP − MP Fees − GST on Fees − TCS − TDS  (what Flipkart remits to bank)</t>
  </si>
  <si>
    <t xml:space="preserve">Net Profit after Fixed OH</t>
  </si>
  <si>
    <t xml:space="preserve">Net Profit − Fixed Overhead Allocated</t>
  </si>
  <si>
    <t xml:space="preserve">COLOUR CODING</t>
  </si>
  <si>
    <t xml:space="preserve">Blue text</t>
  </si>
  <si>
    <t xml:space="preserve">Hardcoded input values (do not overwrite with formulas)</t>
  </si>
  <si>
    <t xml:space="preserve">Black text</t>
  </si>
  <si>
    <t xml:space="preserve">Formula-derived values</t>
  </si>
  <si>
    <t xml:space="preserve">Green text</t>
  </si>
  <si>
    <t xml:space="preserve">Cross-sheet links</t>
  </si>
  <si>
    <t xml:space="preserve">Yellow background</t>
  </si>
  <si>
    <t xml:space="preserve">Key assumption cells — review before running scenarios</t>
  </si>
  <si>
    <t xml:space="preserve">MARKETPLACE SHEET NOTES</t>
  </si>
  <si>
    <t xml:space="preserve">Purpose</t>
  </si>
  <si>
    <t xml:space="preserve">Standalone unit economics calculator for any marketplace (Flipkart, Amazon, JioMart, eBay). Enter the marketplace fee structure and product details to compute margins and BEP.</t>
  </si>
  <si>
    <t xml:space="preserve">Fee structures</t>
  </si>
  <si>
    <t xml:space="preserve">Amazon: Referral fee % + Closing fee + Weight handling; Flipkart: Fixed fee + Collection fee; JioMart/eBay: Commission %. All configured in the Marketplace UE sheet.</t>
  </si>
  <si>
    <t xml:space="preserve">WHAT-IF MODEL NOTES</t>
  </si>
  <si>
    <t xml:space="preserve">Sensitivity model — change price, volume, COGS, return rate, ad spend. All outputs auto-recalculate.</t>
  </si>
  <si>
    <t xml:space="preserve">Scenario toggle</t>
  </si>
  <si>
    <t xml:space="preserve">Choose Base / Bull / Bear scenario from dropdown. Each has its own assumption set.</t>
  </si>
  <si>
    <t xml:space="preserve">Key levers</t>
  </si>
  <si>
    <t xml:space="preserve">Selling price has highest impact on contribution margin. Volume growth unlocks fixed OH leverage.</t>
  </si>
  <si>
    <t xml:space="preserve">VERSION</t>
  </si>
  <si>
    <t xml:space="preserve">Model version</t>
  </si>
  <si>
    <t xml:space="preserve">v1.0 — FY 2026-27 Projection</t>
  </si>
  <si>
    <t xml:space="preserve">Data source</t>
  </si>
  <si>
    <t xml:space="preserve">FY 2024-25 actuals + sku.xlsx updated prices</t>
  </si>
  <si>
    <t xml:space="preserve">Prepared by</t>
  </si>
  <si>
    <t xml:space="preserve">Liimra Naturals Finance</t>
  </si>
  <si>
    <t xml:space="preserve">Date</t>
  </si>
  <si>
    <t xml:space="preserve">May 2026</t>
  </si>
  <si>
    <t xml:space="preserve">MONTHLY PLAN VS ACTUAL — NEW SHEETS ADDED</t>
  </si>
  <si>
    <t xml:space="preserve">⚙ Config &amp; Assumptions</t>
  </si>
  <si>
    <t xml:space="preserve">Master assumptions register. All blue cells are live inputs. Yellow = high-impact. Change seasonality, NSP, COGS, return rate, fixed OH, and current reporting month here. All other sheets update automatically.</t>
  </si>
  <si>
    <t xml:space="preserve">📅 Monthly PvA</t>
  </si>
  <si>
    <t xml:space="preserve">Full 12-month Plan vs Actual grid. Columns: Plan | Actual (green — enter data here) | Var ₹ | Var %. Covers all 11 P&amp;L sections. MTD and YTD columns auto-populate based on the current month set in Config. Conditional formatting highlights favourable/adverse variances.</t>
  </si>
  <si>
    <t xml:space="preserve">📊 MTD Dashboard</t>
  </si>
  <si>
    <t xml:space="preserve">Single-page snapshot of MTD and YTD for 14 key metrics. Status column shows ✔ On/Above / ✘ Below / ~ Near based on variance thresholds in Config. All data pulls from PvA — no manual entry needed here.</t>
  </si>
  <si>
    <t xml:space="preserve">Configurable elements — full list</t>
  </si>
  <si>
    <t xml:space="preserve">See ⚙ Config &amp; Assumptions sheet for the complete register with allowed ranges and impact notes. Key levers: Seasonality weights (12 cells), NSP, COGS, return rate, ad spend, fixed OH components, reporting month, variance thresholds.</t>
  </si>
  <si>
    <t xml:space="preserve">LIIMRA NATURALS  |  CONFIGURABLE ASSUMPTIONS REGISTER  |  FY 2026-27</t>
  </si>
  <si>
    <t xml:space="preserve">All BLUE cells are configurable inputs. Change them here and all linked sheets update automatically. Black = formula-derived. Yellow background = high-impact assumption — review before publishing.</t>
  </si>
  <si>
    <t xml:space="preserve">Parameter</t>
  </si>
  <si>
    <t xml:space="preserve">Current Value</t>
  </si>
  <si>
    <t xml:space="preserve">Allowed Range / Notes</t>
  </si>
  <si>
    <t xml:space="preserve">Impact &amp; Description</t>
  </si>
  <si>
    <t xml:space="preserve">  ◆  VOLUME &amp; GROWTH</t>
  </si>
  <si>
    <t xml:space="preserve">Annual Gross Units Ordered (FY Plan)</t>
  </si>
  <si>
    <t xml:space="preserve">500 – 5000</t>
  </si>
  <si>
    <t xml:space="preserve">Total orders placed before returns. Drives all revenue &amp; cost lines. +20% vs FY24-25.</t>
  </si>
  <si>
    <t xml:space="preserve">Volume Growth Rate vs Prior Year (%)</t>
  </si>
  <si>
    <t xml:space="preserve">0% – 100%</t>
  </si>
  <si>
    <t xml:space="preserve">Year-on-year gross unit growth assumption. Currently set to 20%.</t>
  </si>
  <si>
    <t xml:space="preserve">Monthly Seasonality — April</t>
  </si>
  <si>
    <t xml:space="preserve">0.01 – 0.20</t>
  </si>
  <si>
    <t xml:space="preserve">Share of annual volume in April. All 12 months must sum to 1.0.</t>
  </si>
  <si>
    <t xml:space="preserve">Monthly Seasonality — May</t>
  </si>
  <si>
    <t xml:space="preserve">Share of annual volume in May.</t>
  </si>
  <si>
    <t xml:space="preserve">Monthly Seasonality — June</t>
  </si>
  <si>
    <t xml:space="preserve">Share of annual volume in June.</t>
  </si>
  <si>
    <t xml:space="preserve">Monthly Seasonality — July</t>
  </si>
  <si>
    <t xml:space="preserve">Share of annual volume in July.</t>
  </si>
  <si>
    <t xml:space="preserve">Monthly Seasonality — August</t>
  </si>
  <si>
    <t xml:space="preserve">Festive ramp-up begins. Raksha Bandhan / Independence Day spike.</t>
  </si>
  <si>
    <t xml:space="preserve">Monthly Seasonality — September</t>
  </si>
  <si>
    <t xml:space="preserve">Navratri / Onam. Peak health-food demand.</t>
  </si>
  <si>
    <t xml:space="preserve">Monthly Seasonality — October</t>
  </si>
  <si>
    <t xml:space="preserve">Dussehra / Dhanteras. Highest month — gifting + wellness spend.</t>
  </si>
  <si>
    <t xml:space="preserve">Monthly Seasonality — November</t>
  </si>
  <si>
    <t xml:space="preserve">Diwali / post-festive. Still elevated.</t>
  </si>
  <si>
    <t xml:space="preserve">Monthly Seasonality — December</t>
  </si>
  <si>
    <t xml:space="preserve">Year-end / Christmas. Moderate.</t>
  </si>
  <si>
    <t xml:space="preserve">Monthly Seasonality — January</t>
  </si>
  <si>
    <t xml:space="preserve">New Year resolution health wave.</t>
  </si>
  <si>
    <t xml:space="preserve">Monthly Seasonality — February</t>
  </si>
  <si>
    <t xml:space="preserve">Steady state.</t>
  </si>
  <si>
    <t xml:space="preserve">Monthly Seasonality — March</t>
  </si>
  <si>
    <t xml:space="preserve">Year-end slowdown before new FY.</t>
  </si>
  <si>
    <t xml:space="preserve">Seasonality Sum (must = 1.00)</t>
  </si>
  <si>
    <t xml:space="preserve">Must equal 1.00</t>
  </si>
  <si>
    <t xml:space="preserve">Auto-checks. If not 1.00, monthly plans will not match annual total.</t>
  </si>
  <si>
    <t xml:space="preserve">  ◆  PRICING &amp; RETURNS</t>
  </si>
  <si>
    <t xml:space="preserve">Blended Average NSP (₹/unit)</t>
  </si>
  <si>
    <t xml:space="preserve">100 – 300</t>
  </si>
  <si>
    <t xml:space="preserve">Weighted average net selling price across all SKUs. Update if mix shifts.</t>
  </si>
  <si>
    <t xml:space="preserve">Return Rate — Blended (%)</t>
  </si>
  <si>
    <t xml:space="preserve">0% – 20%</t>
  </si>
  <si>
    <t xml:space="preserve">FY24-25 observed blended return rate (7.93%). Changes here flow through to net units.</t>
  </si>
  <si>
    <t xml:space="preserve">  ◆  COST STRUCTURE</t>
  </si>
  <si>
    <t xml:space="preserve">Blended COGS incl. Packing (₹/unit)</t>
  </si>
  <si>
    <t xml:space="preserve">60 – 150</t>
  </si>
  <si>
    <t xml:space="preserve">Weighted average COGS. Update if product mix or input costs change.</t>
  </si>
  <si>
    <t xml:space="preserve">Blended Marketplace Fee (₹/unit)</t>
  </si>
  <si>
    <t xml:space="preserve">7 – 15</t>
  </si>
  <si>
    <t xml:space="preserve">Weighted avg FK fixed fee. Increases with heavier/higher-value SKUs.</t>
  </si>
  <si>
    <t xml:space="preserve">Blended Reverse Logistics (₹/net unit)</t>
  </si>
  <si>
    <t xml:space="preserve">0 – 25</t>
  </si>
  <si>
    <t xml:space="preserve">Weighted avg reverse shipping cost. Allocated to net units sold.</t>
  </si>
  <si>
    <t xml:space="preserve">  ◆  ADVERTISING</t>
  </si>
  <si>
    <t xml:space="preserve">Total Annual Ad Spend (₹)</t>
  </si>
  <si>
    <t xml:space="preserve">5000 – 100000</t>
  </si>
  <si>
    <t xml:space="preserve">Held constant from FY24-25. Increase to test volume uplift scenarios.</t>
  </si>
  <si>
    <t xml:space="preserve">Ad Spend Monthly Distribution</t>
  </si>
  <si>
    <t xml:space="preserve">Equal (1/12)</t>
  </si>
  <si>
    <t xml:space="preserve">Equal or seasonal</t>
  </si>
  <si>
    <t xml:space="preserve">Currently split equally across months. Can be made seasonal in Config sheet.</t>
  </si>
  <si>
    <t xml:space="preserve">  ◆  TAXES &amp; COMPLIANCE</t>
  </si>
  <si>
    <t xml:space="preserve">TCS Rate (%)</t>
  </si>
  <si>
    <t xml:space="preserve">1% (statutory)</t>
  </si>
  <si>
    <t xml:space="preserve">Tax Collected at Source by Flipkart. Statutory — do not change.</t>
  </si>
  <si>
    <t xml:space="preserve">TDS Rate (%)</t>
  </si>
  <si>
    <t xml:space="preserve">0.1% (statutory)</t>
  </si>
  <si>
    <t xml:space="preserve">Tax Deducted at Source by Flipkart. Recoverable. Statutory — do not change.</t>
  </si>
  <si>
    <t xml:space="preserve">GST on Marketplace Fees (%)</t>
  </si>
  <si>
    <t xml:space="preserve">18% (statutory)</t>
  </si>
  <si>
    <t xml:space="preserve">GST on platform fees paid by seller. Statutory — do not change.</t>
  </si>
  <si>
    <t xml:space="preserve">  ◆  FIXED OVERHEADS</t>
  </si>
  <si>
    <t xml:space="preserve">Monthly Warehousing Cost (₹)</t>
  </si>
  <si>
    <t xml:space="preserve">5000 – 50000</t>
  </si>
  <si>
    <t xml:space="preserve">Current: single warehouse location. Update if storage needs expand.</t>
  </si>
  <si>
    <t xml:space="preserve">Monthly Salary Cost (₹)</t>
  </si>
  <si>
    <t xml:space="preserve">10000 – 100000</t>
  </si>
  <si>
    <t xml:space="preserve">Currently 1 FTE. Update on headcount addition.</t>
  </si>
  <si>
    <t xml:space="preserve">Monthly Miscellaneous (₹)</t>
  </si>
  <si>
    <t xml:space="preserve">1000 – 20000</t>
  </si>
  <si>
    <t xml:space="preserve">Packaging consumables, utilities, software subscriptions.</t>
  </si>
  <si>
    <t xml:space="preserve">Total Monthly Fixed Overheads (₹)</t>
  </si>
  <si>
    <t xml:space="preserve">Target &lt; ₹50,000/month</t>
  </si>
  <si>
    <t xml:space="preserve">Sum of above. ₹30,000/month = ₹3,60,000 annually.</t>
  </si>
  <si>
    <t xml:space="preserve">Total Annual Fixed Overheads (₹)</t>
  </si>
  <si>
    <t xml:space="preserve">—</t>
  </si>
  <si>
    <t xml:space="preserve">Annualised. Allocated pro-rata by net revenue share across SKUs.</t>
  </si>
  <si>
    <t xml:space="preserve">  ◆  PLAN VS ACTUAL</t>
  </si>
  <si>
    <t xml:space="preserve">Current Reporting Month (1=Apr … 12=Mar)</t>
  </si>
  <si>
    <t xml:space="preserve">1 – 12</t>
  </si>
  <si>
    <t xml:space="preserve">Set this to current month number. Controls MTD &amp; YTD calculations in PvA sheet.</t>
  </si>
  <si>
    <t xml:space="preserve">Variance Alert Threshold — Favourable (%)</t>
  </si>
  <si>
    <t xml:space="preserve">1% – 20%</t>
  </si>
  <si>
    <t xml:space="preserve">Green highlight if actual exceeds plan by more than this %.</t>
  </si>
  <si>
    <t xml:space="preserve">Variance Alert Threshold — Adverse (%)</t>
  </si>
  <si>
    <t xml:space="preserve">-20% – -1%</t>
  </si>
  <si>
    <t xml:space="preserve">Red highlight if actual is below plan by more than this %.</t>
  </si>
  <si>
    <t xml:space="preserve">⚡ Yellow background = HIGH IMPACT assumption — change with care. Blue background = standard configurable input.</t>
  </si>
  <si>
    <t xml:space="preserve">LIIMRA NATURALS  |  MARKETPLACE-DRIVEN UNIT ECONOMICS  |  FY 2026-27</t>
  </si>
  <si>
    <t xml:space="preserve">Calculate and compare unit economics across Flipkart, Amazon India, JioMart &amp; eBay India. Blue cells = inputs. Change any value to see live recalculation.</t>
  </si>
  <si>
    <t xml:space="preserve">Parameter / Metric</t>
  </si>
  <si>
    <t xml:space="preserve">Flipkart</t>
  </si>
  <si>
    <t xml:space="preserve">Amazon India</t>
  </si>
  <si>
    <t xml:space="preserve">JioMart</t>
  </si>
  <si>
    <t xml:space="preserve">eBay India</t>
  </si>
  <si>
    <t xml:space="preserve">── PRODUCT (same across all platforms)</t>
  </si>
  <si>
    <t xml:space="preserve">MRP / Listing Price (₹/unit)</t>
  </si>
  <si>
    <t xml:space="preserve">COGS incl. Packing (₹/unit)</t>
  </si>
  <si>
    <t xml:space="preserve">Monthly Volume (Units, net sold)</t>
  </si>
  <si>
    <t xml:space="preserve">Return Rate (%)</t>
  </si>
  <si>
    <t xml:space="preserve">── MARKETPLACE FEE STRUCTURE</t>
  </si>
  <si>
    <t xml:space="preserve">Referral / Commission (%)</t>
  </si>
  <si>
    <t xml:space="preserve">Fixed Fee per Order (₹)</t>
  </si>
  <si>
    <t xml:space="preserve">Closing / Weight Handling Fee (₹)</t>
  </si>
  <si>
    <t xml:space="preserve">Shipping charged to seller (₹/unit)</t>
  </si>
  <si>
    <t xml:space="preserve">Reverse Logistics per return (₹)</t>
  </si>
  <si>
    <t xml:space="preserve">GST on platform fees (%)</t>
  </si>
  <si>
    <t xml:space="preserve">── TAXES</t>
  </si>
  <si>
    <t xml:space="preserve">── ADVERTISING</t>
  </si>
  <si>
    <t xml:space="preserve">Monthly Ad Spend (₹)</t>
  </si>
  <si>
    <t xml:space="preserve">COMPUTED UNIT ECONOMICS (Monthly Basis)</t>
  </si>
  <si>
    <t xml:space="preserve">── REVENUE (Monthly)</t>
  </si>
  <si>
    <t xml:space="preserve">Gross Units</t>
  </si>
  <si>
    <t xml:space="preserve">Gross Revenue (₹)</t>
  </si>
  <si>
    <t xml:space="preserve">Refund Value (₹)</t>
  </si>
  <si>
    <t xml:space="preserve">Net Revenue (₹)</t>
  </si>
  <si>
    <t xml:space="preserve">── COSTS (Monthly)</t>
  </si>
  <si>
    <t xml:space="preserve">COGS Total (₹)</t>
  </si>
  <si>
    <t xml:space="preserve">Platform Commission (₹)</t>
  </si>
  <si>
    <t xml:space="preserve">Fixed Fee Total (₹)</t>
  </si>
  <si>
    <t xml:space="preserve">Closing / Weight Handling (₹)</t>
  </si>
  <si>
    <t xml:space="preserve">Outbound Shipping (₹)</t>
  </si>
  <si>
    <t xml:space="preserve">Reverse Logistics (₹)</t>
  </si>
  <si>
    <t xml:space="preserve">GST on Platform Fees (₹)</t>
  </si>
  <si>
    <t xml:space="preserve">TCS (₹)</t>
  </si>
  <si>
    <t xml:space="preserve">TDS (₹) [recoverable]</t>
  </si>
  <si>
    <t xml:space="preserve">Ad Spend (₹)</t>
  </si>
  <si>
    <t xml:space="preserve">── P&amp;L SUMMARY (Monthly)</t>
  </si>
  <si>
    <t xml:space="preserve">Gross Profit (₹)</t>
  </si>
  <si>
    <t xml:space="preserve">Gross Margin (%)</t>
  </si>
  <si>
    <t xml:space="preserve">Total Platform Cost (₹)</t>
  </si>
  <si>
    <t xml:space="preserve">Operating Profit (₹)</t>
  </si>
  <si>
    <t xml:space="preserve">Operating Margin (%)</t>
  </si>
  <si>
    <t xml:space="preserve">Net Profit (₹)</t>
  </si>
  <si>
    <t xml:space="preserve">Net Margin (%)</t>
  </si>
  <si>
    <t xml:space="preserve">── PER UNIT (Net Sold)</t>
  </si>
  <si>
    <t xml:space="preserve">Revenue per Unit (₹)</t>
  </si>
  <si>
    <t xml:space="preserve">COGS per Unit (₹)</t>
  </si>
  <si>
    <t xml:space="preserve">Platform Fees per Unit (₹)</t>
  </si>
  <si>
    <t xml:space="preserve">Net Profit per Unit (₹)</t>
  </si>
  <si>
    <t xml:space="preserve">Contribution per Unit (₹)</t>
  </si>
  <si>
    <t xml:space="preserve">Contribution Margin (%)</t>
  </si>
  <si>
    <t xml:space="preserve">BEP (units to cover ad spend)</t>
  </si>
  <si>
    <t xml:space="preserve">Break-even Revenue (₹)</t>
  </si>
  <si>
    <t xml:space="preserve">CROSS-PLATFORM COMPARISON SUMMARY (Monthly)</t>
  </si>
  <si>
    <t xml:space="preserve">Metric</t>
  </si>
  <si>
    <t xml:space="preserve">Contribution/Unit</t>
  </si>
  <si>
    <t xml:space="preserve">LIIMRA NATURALS  |  WHAT-IF SCENARIO MODEL  |  FY 2026-27</t>
  </si>
  <si>
    <t xml:space="preserve">Adjust assumptions in the BLUE cells. All metrics auto-recalculate. Three scenario columns: Base (actuals) | Bull (+) | Bear (−)</t>
  </si>
  <si>
    <t xml:space="preserve">Assumption</t>
  </si>
  <si>
    <t xml:space="preserve">Base Case
(FY2627 Plan)</t>
  </si>
  <si>
    <t xml:space="preserve">Bull Case
(Upside)</t>
  </si>
  <si>
    <t xml:space="preserve">Bear Case
(Downside)</t>
  </si>
  <si>
    <t xml:space="preserve">── VOLUME &amp; PRICE</t>
  </si>
  <si>
    <t xml:space="preserve">Annual Gross Units</t>
  </si>
  <si>
    <t xml:space="preserve">Avg Net Selling Price (₹/unit)</t>
  </si>
  <si>
    <t xml:space="preserve">── COST STRUCTURE</t>
  </si>
  <si>
    <t xml:space="preserve">Avg COGS incl. Packing (₹/unit)</t>
  </si>
  <si>
    <t xml:space="preserve">Avg Marketplace Fee (₹/unit)</t>
  </si>
  <si>
    <t xml:space="preserve">Avg Reverse Logistics (₹/unit)</t>
  </si>
  <si>
    <t xml:space="preserve">Total Ad Spend (₹)</t>
  </si>
  <si>
    <t xml:space="preserve">── TAXES &amp; COMPLIANCE</t>
  </si>
  <si>
    <t xml:space="preserve">GST on MP Fees Rate (%)</t>
  </si>
  <si>
    <t xml:space="preserve">── FIXED OVERHEADS</t>
  </si>
  <si>
    <t xml:space="preserve">Annual Fixed Overheads (₹)</t>
  </si>
  <si>
    <t xml:space="preserve">COMPUTED OUTPUTS — all values in ₹ unless stated</t>
  </si>
  <si>
    <t xml:space="preserve">Base Case</t>
  </si>
  <si>
    <t xml:space="preserve">Bull Case</t>
  </si>
  <si>
    <t xml:space="preserve">Bear Case</t>
  </si>
  <si>
    <t xml:space="preserve">── VOLUME</t>
  </si>
  <si>
    <t xml:space="preserve">Returns (Units)</t>
  </si>
  <si>
    <t xml:space="preserve">── REVENUE</t>
  </si>
  <si>
    <t xml:space="preserve">── COST &amp; PROFIT</t>
  </si>
  <si>
    <t xml:space="preserve">Total COGS (₹)</t>
  </si>
  <si>
    <t xml:space="preserve">── OPERATING EXPENSES</t>
  </si>
  <si>
    <t xml:space="preserve">Total Marketplace Fees (₹)</t>
  </si>
  <si>
    <t xml:space="preserve">Total Logistics (₹)</t>
  </si>
  <si>
    <t xml:space="preserve">Total Taxes — TCS+GST (₹)</t>
  </si>
  <si>
    <t xml:space="preserve">── BOTTOM LINE</t>
  </si>
  <si>
    <t xml:space="preserve">Net Profit pre-Fixed OH (₹)</t>
  </si>
  <si>
    <t xml:space="preserve">Net Margin pre-Fixed OH (%)</t>
  </si>
  <si>
    <t xml:space="preserve">Fixed Overheads (₹)</t>
  </si>
  <si>
    <t xml:space="preserve">Net Profit after Fixed OH (₹)</t>
  </si>
  <si>
    <t xml:space="preserve">Net Margin after Fixed OH (%)</t>
  </si>
  <si>
    <t xml:space="preserve">── PER UNIT ECONOMICS</t>
  </si>
  <si>
    <t xml:space="preserve">BEP — Units to cover Ad Spend</t>
  </si>
  <si>
    <t xml:space="preserve">Units needed to cover Fixed OH</t>
  </si>
  <si>
    <t xml:space="preserve">SENSITIVITY TABLE — Net Profit pre-Fixed OH vs Selling Price × Volume  (Base Case COGS, Fees, Ad Spend)</t>
  </si>
  <si>
    <t xml:space="preserve">↓ Volume  |  Price →</t>
  </si>
  <si>
    <t xml:space="preserve">₹130</t>
  </si>
  <si>
    <t xml:space="preserve">₹140</t>
  </si>
  <si>
    <t xml:space="preserve">₹150</t>
  </si>
  <si>
    <t xml:space="preserve">₹155</t>
  </si>
  <si>
    <t xml:space="preserve">₹160</t>
  </si>
  <si>
    <t xml:space="preserve">₹170</t>
  </si>
  <si>
    <t xml:space="preserve">₹180</t>
  </si>
  <si>
    <t xml:space="preserve">₹200</t>
  </si>
  <si>
    <t xml:space="preserve">LIIMRA NATURALS  |  FY 2026-27  |  SKU-wise Unit Economics (Projected)</t>
  </si>
  <si>
    <t xml:space="preserve">Blue = hardcoded inputs  ·  Black = formulas  ·  Green = cross-sheet links  ·  COGS &amp; per-unit OpEx rates from FY24-25 actuals  ·  Ad Spend total held constant  ·  Gross Units +20%</t>
  </si>
  <si>
    <t xml:space="preserve">Section</t>
  </si>
  <si>
    <t xml:space="preserve">Combo 250×3</t>
  </si>
  <si>
    <t xml:space="preserve">Combo 250×6</t>
  </si>
  <si>
    <t xml:space="preserve">Ragi 250g</t>
  </si>
  <si>
    <t xml:space="preserve">Bajra 250g</t>
  </si>
  <si>
    <t xml:space="preserve">Jowar 250g</t>
  </si>
  <si>
    <t xml:space="preserve">Kagni 250g</t>
  </si>
  <si>
    <t xml:space="preserve">Kutki 250g</t>
  </si>
  <si>
    <t xml:space="preserve">Kodo 250g</t>
  </si>
  <si>
    <t xml:space="preserve">Ragi 500g</t>
  </si>
  <si>
    <t xml:space="preserve">Jowar 500g</t>
  </si>
  <si>
    <t xml:space="preserve">Bajra 500g</t>
  </si>
  <si>
    <t xml:space="preserve">Kangni 500g</t>
  </si>
  <si>
    <t xml:space="preserve">Kutki 500g</t>
  </si>
  <si>
    <t xml:space="preserve">Kodo 500g</t>
  </si>
  <si>
    <t xml:space="preserve">Ragi 1kg</t>
  </si>
  <si>
    <t xml:space="preserve">Jowar 1kg</t>
  </si>
  <si>
    <t xml:space="preserve">Bajra 1kg</t>
  </si>
  <si>
    <t xml:space="preserve">Indrayani</t>
  </si>
  <si>
    <t xml:space="preserve">Total / Wtd Avg</t>
  </si>
  <si>
    <t xml:space="preserve">  ①  VOLUME  (Full Year Units)</t>
  </si>
  <si>
    <t xml:space="preserve">① Volume</t>
  </si>
  <si>
    <t xml:space="preserve">    Gross Units Ordered</t>
  </si>
  <si>
    <t xml:space="preserve">    Return Rate (%)</t>
  </si>
  <si>
    <t xml:space="preserve">    Returns (Units)</t>
  </si>
  <si>
    <t xml:space="preserve">    Net Units Sold</t>
  </si>
  <si>
    <t xml:space="preserve">  ②  REVENUE</t>
  </si>
  <si>
    <t xml:space="preserve">② Revenue</t>
  </si>
  <si>
    <t xml:space="preserve">    New Selling Price (₹/unit)</t>
  </si>
  <si>
    <t xml:space="preserve">    Gross Revenue (₹)</t>
  </si>
  <si>
    <t xml:space="preserve">    (−) Returns &amp; Refunds (₹)</t>
  </si>
  <si>
    <t xml:space="preserve">    Net Revenue (₹)</t>
  </si>
  <si>
    <t xml:space="preserve">    Net Selling Price (₹/net unit)</t>
  </si>
  <si>
    <t xml:space="preserve">  ③  COST OF GOODS SOLD</t>
  </si>
  <si>
    <t xml:space="preserve">③ COGS</t>
  </si>
  <si>
    <t xml:space="preserve">    COGS incl. Packing (₹/unit)</t>
  </si>
  <si>
    <t xml:space="preserve">    Total COGS (₹)</t>
  </si>
  <si>
    <t xml:space="preserve">  ④  GROSS PROFIT</t>
  </si>
  <si>
    <t xml:space="preserve">④ GP</t>
  </si>
  <si>
    <t xml:space="preserve">    Gross Profit (₹)</t>
  </si>
  <si>
    <t xml:space="preserve">    Gross Profit per Net Unit (₹)</t>
  </si>
  <si>
    <t xml:space="preserve">    Gross Margin (%)</t>
  </si>
  <si>
    <t xml:space="preserve">  ⑤  OPERATING EXPENSES</t>
  </si>
  <si>
    <t xml:space="preserve">⑤ OpEx</t>
  </si>
  <si>
    <t xml:space="preserve">    FK Fixed Fee (₹/net unit)</t>
  </si>
  <si>
    <t xml:space="preserve">    Total Marketplace Fees (₹)</t>
  </si>
  <si>
    <t xml:space="preserve">    Reverse Shipping (₹/net unit)</t>
  </si>
  <si>
    <t xml:space="preserve">    Total Logistics (₹)</t>
  </si>
  <si>
    <t xml:space="preserve">    Ad Spend Allocated (₹)</t>
  </si>
  <si>
    <t xml:space="preserve">    TCS (₹/net unit) [1% of NSP]</t>
  </si>
  <si>
    <t xml:space="preserve">    GST on MP Fees (₹/net unit) [18%]</t>
  </si>
  <si>
    <t xml:space="preserve">    Total Taxes (₹)</t>
  </si>
  <si>
    <t xml:space="preserve">    ⇒ Total Variable Costs excl. COGS (₹)</t>
  </si>
  <si>
    <t xml:space="preserve">    ⇒ Total Cost incl. COGS (₹)</t>
  </si>
  <si>
    <t xml:space="preserve">  ⑥  OPERATING PROFIT / (LOSS)</t>
  </si>
  <si>
    <t xml:space="preserve">⑥ Op P&amp;L</t>
  </si>
  <si>
    <t xml:space="preserve">    Operating Profit / (Loss) (₹)</t>
  </si>
  <si>
    <t xml:space="preserve">    Op Profit per Net Unit (₹)</t>
  </si>
  <si>
    <t xml:space="preserve">    Operating Margin (%)</t>
  </si>
  <si>
    <t xml:space="preserve">  ⑦  TDS — Deducted by Flipkart (Recoverable)</t>
  </si>
  <si>
    <t xml:space="preserve">⑦ TDS</t>
  </si>
  <si>
    <t xml:space="preserve">    TDS (₹) [0.1% on Net Revenue]</t>
  </si>
  <si>
    <t xml:space="preserve">  ⑧  NET PROFIT / (LOSS)</t>
  </si>
  <si>
    <t xml:space="preserve">⑧ Net P&amp;L</t>
  </si>
  <si>
    <t xml:space="preserve">    Net Profit / (Loss) (₹)</t>
  </si>
  <si>
    <t xml:space="preserve">    Net Profit per Net Unit (₹)</t>
  </si>
  <si>
    <t xml:space="preserve">    Net Margin (%)</t>
  </si>
  <si>
    <t xml:space="preserve">  ⑨  CONTRIBUTION MARGIN ANALYSIS</t>
  </si>
  <si>
    <t xml:space="preserve">⑨ CM</t>
  </si>
  <si>
    <t xml:space="preserve">    Contribution per Unit (₹)</t>
  </si>
  <si>
    <t xml:space="preserve">    Contribution Margin (%)</t>
  </si>
  <si>
    <t xml:space="preserve">    Break-Even Units (BEP)</t>
  </si>
  <si>
    <t xml:space="preserve">N/A</t>
  </si>
  <si>
    <t xml:space="preserve">  ⑩  BANK SETTLEMENT per Net Unit</t>
  </si>
  <si>
    <t xml:space="preserve">⑩ Settle</t>
  </si>
  <si>
    <t xml:space="preserve">    Listing Price (₹/unit)</t>
  </si>
  <si>
    <t xml:space="preserve">    Bank Settlement (₹/net unit)</t>
  </si>
  <si>
    <t xml:space="preserve">    Memo: Bank Settlement Total (₹)</t>
  </si>
  <si>
    <t xml:space="preserve">    Settlement as % of Listing Price</t>
  </si>
  <si>
    <t xml:space="preserve">  ⑪  FIXED OVERHEADS (Annual allocation, pro-rata by net revenue)</t>
  </si>
  <si>
    <t xml:space="preserve">⑪ Fixed OH</t>
  </si>
  <si>
    <t xml:space="preserve">    Fixed OH Allocated (₹)</t>
  </si>
  <si>
    <t xml:space="preserve">  ⑫  NET PROFIT AFTER FIXED OVERHEADS</t>
  </si>
  <si>
    <t xml:space="preserve">⑫ Post-OH</t>
  </si>
  <si>
    <t xml:space="preserve">    Net Profit after Fixed OH (₹)</t>
  </si>
  <si>
    <t xml:space="preserve">    Net Margin after Fixed OH (%)</t>
  </si>
  <si>
    <t xml:space="preserve">LIIMRA NATURALS  |  MTD &amp; YTD PERFORMANCE DASHBOARD  |  FY 2026-27</t>
  </si>
  <si>
    <t xml:space="preserve">Current reporting month driven by ⚙ Config sheet cell 'Current Reporting Month'. All metrics auto-populate from 📅 Monthly PvA sheet. Enter actuals there to see live variances here.</t>
  </si>
  <si>
    <t xml:space="preserve">  YTD Summary (Apr → Current Month)</t>
  </si>
  <si>
    <t xml:space="preserve">Plan</t>
  </si>
  <si>
    <t xml:space="preserve">Actual</t>
  </si>
  <si>
    <t xml:space="preserve">Var ₹</t>
  </si>
  <si>
    <t xml:space="preserve">Var %</t>
  </si>
  <si>
    <t xml:space="preserve">Status</t>
  </si>
  <si>
    <t xml:space="preserve">Operating Profit / (Loss) (₹)</t>
  </si>
  <si>
    <t xml:space="preserve">Net Profit / (Loss) (₹)</t>
  </si>
  <si>
    <t xml:space="preserve">Bank Settlement (₹) — Estimated</t>
  </si>
  <si>
    <t xml:space="preserve">LIIMRA NATURALS  |  MONTHLY PLAN vs ACTUAL  |  FY 2026-27  (Apr 2026 – Mar 2027)</t>
  </si>
  <si>
    <t xml:space="preserve">Plan = seasonality-weighted annual targets from ⚙ Config sheet  ·  Actual = enter monthly data in GREEN cells  ·  Variance = Actual − Plan  ·  MTD &amp; YTD driven by current reporting month in Config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</si>
  <si>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</si>
  <si>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</si>
  <si>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</si>
  <si>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</si>
  <si>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</si>
  <si>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</si>
  <si>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</si>
  <si>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</si>
  <si>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</si>
  <si>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January</t>
  </si>
  <si>
    <t xml:space="preserve">February</t>
  </si>
  <si>
    <t xml:space="preserve">March</t>
  </si>
  <si>
    <t xml:space="preserve">◆ MTD</t>
  </si>
  <si>
    <t xml:space="preserve">◆ YTD</t>
  </si>
  <si>
    <t xml:space="preserve">Section / Metric</t>
  </si>
  <si>
    <t xml:space="preserve">  ① VOLUME</t>
  </si>
  <si>
    <t xml:space="preserve">    Gross Units (Plan)</t>
  </si>
  <si>
    <t xml:space="preserve">  ⇒ Net Units Sold</t>
  </si>
  <si>
    <t xml:space="preserve">  ② REVENUE</t>
  </si>
  <si>
    <t xml:space="preserve">    (-) Returns &amp; Refunds (₹)</t>
  </si>
  <si>
    <t xml:space="preserve">  ⇒ Net Revenue (₹)</t>
  </si>
  <si>
    <t xml:space="preserve">  ③ COGS</t>
  </si>
  <si>
    <t xml:space="preserve">  ④ GROSS PROFIT</t>
  </si>
  <si>
    <t xml:space="preserve">  ⇒ Gross Profit (₹)</t>
  </si>
  <si>
    <t xml:space="preserve">  ⑤ OPERATING EXPENSES</t>
  </si>
  <si>
    <t xml:space="preserve">    Marketplace Fees (₹)</t>
  </si>
  <si>
    <t xml:space="preserve">    Logistics — Returns (₹)</t>
  </si>
  <si>
    <t xml:space="preserve">    Ad Spend (₹)</t>
  </si>
  <si>
    <t xml:space="preserve">    Taxes — TCS + GST (₹)</t>
  </si>
  <si>
    <t xml:space="preserve">  ⇒ Total Variable Cost excl. COGS (₹)</t>
  </si>
  <si>
    <t xml:space="preserve">  ⑥ OPERATING PROFIT / (LOSS)</t>
  </si>
  <si>
    <t xml:space="preserve">  ⇒ Operating Profit / (Loss) (₹)</t>
  </si>
  <si>
    <t xml:space="preserve">  ⑦ TDS (Recoverable)</t>
  </si>
  <si>
    <t xml:space="preserve">    TDS Deducted (₹)</t>
  </si>
  <si>
    <t xml:space="preserve">  ⑧ NET PROFIT</t>
  </si>
  <si>
    <t xml:space="preserve">  ⇒ Net Profit / (Loss) (₹)</t>
  </si>
  <si>
    <t xml:space="preserve">  ⑨ FIXED OVERHEADS</t>
  </si>
  <si>
    <t xml:space="preserve">    Fixed Overheads (₹)</t>
  </si>
  <si>
    <t xml:space="preserve">  ⇒ Net Profit after Fixed OH (₹)</t>
  </si>
  <si>
    <t xml:space="preserve">  ⑩ CONTRIBUTION MARGIN</t>
  </si>
  <si>
    <t xml:space="preserve">  ⑪ BANK SETTLEMENT</t>
  </si>
  <si>
    <t xml:space="preserve">    Bank Settlement (₹) — Estimated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</si>
</sst>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₹#,##0"/>
    <numFmt numFmtId="166" formatCode="0.000"/>
    <numFmt numFmtId="167" formatCode="General"/>
    <numFmt numFmtId="168" formatCode="\₹#,##0.00"/>
    <numFmt numFmtId="169" formatCode="#,##0"/>
    <numFmt numFmtId="170" formatCode="\₹#,##0.00"/>
    <numFmt numFmtId="171" formatCode="0.0%"/>
    <numFmt numFmtId="172" formatCode="0.00%"/>
    <numFmt numFmtId="173" formatCode="0%"/>
    <numFmt numFmtId="174" formatCode="0.000%"/>
    <numFmt numFmtId="175" formatCode="\₹#,##0"/>
    <numFmt numFmtId="176" formatCode="#,##0.0"/>
    <numFmt numFmtId="177" formatCode="@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8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555555"/>
      <name val="Arial"/>
      <family val="0"/>
      <charset val="1"/>
    </font>
    <font>
      <i val="true"/>
      <sz val="8"/>
      <color rgb="FF66440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9"/>
      <color rgb="FF993C1D"/>
      <name val="Arial"/>
      <family val="0"/>
      <charset val="1"/>
    </font>
    <font>
      <sz val="9"/>
      <color rgb="FF0F6E56"/>
      <name val="Arial"/>
      <family val="0"/>
      <charset val="1"/>
    </font>
    <font>
      <b val="true"/>
      <sz val="9"/>
      <color rgb="FF0F6E56"/>
      <name val="Arial"/>
      <family val="0"/>
      <charset val="1"/>
    </font>
    <font>
      <sz val="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6400"/>
      <name val="Arial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1A3A4A"/>
        <bgColor rgb="FF1A3A6A"/>
      </patternFill>
    </fill>
    <fill>
      <patternFill patternType="solid">
        <fgColor rgb="FF2D6A7F"/>
        <bgColor rgb="FF0F6E56"/>
      </patternFill>
    </fill>
    <fill>
      <patternFill patternType="solid">
        <fgColor rgb="FFE8F4F8"/>
        <bgColor rgb="FFEBF5FB"/>
      </patternFill>
    </fill>
    <fill>
      <patternFill patternType="solid">
        <fgColor rgb="FFFFFFFF"/>
        <bgColor rgb="FFFDFEFE"/>
      </patternFill>
    </fill>
    <fill>
      <patternFill patternType="solid">
        <fgColor rgb="FFFFFF99"/>
        <bgColor rgb="FFFFFDE7"/>
      </patternFill>
    </fill>
    <fill>
      <patternFill patternType="solid">
        <fgColor rgb="FFFDFEFE"/>
        <bgColor rgb="FFFFFFFF"/>
      </patternFill>
    </fill>
    <fill>
      <patternFill patternType="solid">
        <fgColor rgb="FFEBF5FB"/>
        <bgColor rgb="FFE8F4F8"/>
      </patternFill>
    </fill>
    <fill>
      <patternFill patternType="solid">
        <fgColor rgb="FFF2F3F4"/>
        <bgColor rgb="FFEBF5FB"/>
      </patternFill>
    </fill>
    <fill>
      <patternFill patternType="solid">
        <fgColor rgb="FFFFFDE7"/>
        <bgColor rgb="FFFDFEFE"/>
      </patternFill>
    </fill>
    <fill>
      <patternFill patternType="solid">
        <fgColor rgb="FFFF9900"/>
        <bgColor rgb="FFFFCC00"/>
      </patternFill>
    </fill>
    <fill>
      <patternFill patternType="solid">
        <fgColor rgb="FF0063A3"/>
        <bgColor rgb="FF2D6A7F"/>
      </patternFill>
    </fill>
    <fill>
      <patternFill patternType="solid">
        <fgColor rgb="FFE53238"/>
        <bgColor rgb="FF993C1D"/>
      </patternFill>
    </fill>
    <fill>
      <patternFill patternType="solid">
        <fgColor rgb="FF1A6B3A"/>
        <bgColor rgb="FF0F6E56"/>
      </patternFill>
    </fill>
    <fill>
      <patternFill patternType="solid">
        <fgColor rgb="FF0E4D2A"/>
        <bgColor rgb="FF1A5C2E"/>
      </patternFill>
    </fill>
    <fill>
      <patternFill patternType="solid">
        <fgColor rgb="FF7B1F1F"/>
        <bgColor rgb="FF5C1A1A"/>
      </patternFill>
    </fill>
    <fill>
      <patternFill patternType="solid">
        <fgColor rgb="FFFDEDEC"/>
        <bgColor rgb="FFF2F3F4"/>
      </patternFill>
    </fill>
    <fill>
      <patternFill patternType="solid">
        <fgColor rgb="FFD5F5E3"/>
        <bgColor rgb="FFE8F5E9"/>
      </patternFill>
    </fill>
    <fill>
      <patternFill patternType="solid">
        <fgColor rgb="FF4A2070"/>
        <bgColor rgb="FF660066"/>
      </patternFill>
    </fill>
    <fill>
      <patternFill patternType="solid">
        <fgColor rgb="FF1A3A6A"/>
        <bgColor rgb="FF1A3A4A"/>
      </patternFill>
    </fill>
    <fill>
      <patternFill patternType="solid">
        <fgColor rgb="FF1A4A6A"/>
        <bgColor rgb="FF1A3A6A"/>
      </patternFill>
    </fill>
    <fill>
      <patternFill patternType="solid">
        <fgColor rgb="FF1A5C2E"/>
        <bgColor rgb="FF1A6B3A"/>
      </patternFill>
    </fill>
    <fill>
      <patternFill patternType="solid">
        <fgColor rgb="FF5C1A1A"/>
        <bgColor rgb="FF7B1F1F"/>
      </patternFill>
    </fill>
    <fill>
      <patternFill patternType="solid">
        <fgColor rgb="FFE8F5E9"/>
        <bgColor rgb="FFE8F4F8"/>
      </patternFill>
    </fill>
    <fill>
      <patternFill patternType="solid">
        <fgColor rgb="FFEDE7F6"/>
        <bgColor rgb="FFF2F3F4"/>
      </patternFill>
    </fill>
    <fill>
      <patternFill patternType="solid">
        <fgColor rgb="FFE3F2FD"/>
        <bgColor rgb="FFE8F4F8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3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3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3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3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3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3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5" fontId="10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5" fontId="7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8" fillId="1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9" fillId="1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0" fillId="1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10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0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7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0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7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0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0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2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0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2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2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2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3" fillId="2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2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2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2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2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0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3" fillId="2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0" fillId="2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0" fillId="2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9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2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2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3" fillId="2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2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2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2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2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3" fillId="2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3" fillId="2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2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2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F6E56"/>
        <sz val="9"/>
      </font>
      <fill>
        <patternFill>
          <bgColor rgb="FFD5F5E3"/>
        </patternFill>
      </fill>
    </dxf>
    <dxf>
      <font>
        <name val="Arial"/>
        <charset val="1"/>
        <family val="0"/>
        <b val="1"/>
        <color rgb="FF993C1D"/>
        <sz val="9"/>
      </font>
      <fill>
        <patternFill>
          <bgColor rgb="FFFDED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F1F"/>
      <rgbColor rgb="FF006400"/>
      <rgbColor rgb="FF000080"/>
      <rgbColor rgb="FF1A5C2E"/>
      <rgbColor rgb="FF800080"/>
      <rgbColor rgb="FF0F6E56"/>
      <rgbColor rgb="FFE8F5E9"/>
      <rgbColor rgb="FF808080"/>
      <rgbColor rgb="FF9999FF"/>
      <rgbColor rgb="FFE53238"/>
      <rgbColor rgb="FFFFFDE7"/>
      <rgbColor rgb="FFE3F2FD"/>
      <rgbColor rgb="FF660066"/>
      <rgbColor rgb="FFFF8080"/>
      <rgbColor rgb="FF0063A3"/>
      <rgbColor rgb="FFEDE7F6"/>
      <rgbColor rgb="FF000080"/>
      <rgbColor rgb="FFFF00FF"/>
      <rgbColor rgb="FFFFFF00"/>
      <rgbColor rgb="FF00FFFF"/>
      <rgbColor rgb="FF800080"/>
      <rgbColor rgb="FF5C1A1A"/>
      <rgbColor rgb="FF2D6A7F"/>
      <rgbColor rgb="FF0000FF"/>
      <rgbColor rgb="FF00CCFF"/>
      <rgbColor rgb="FFE8F4F8"/>
      <rgbColor rgb="FFD5F5E3"/>
      <rgbColor rgb="FFFFFF99"/>
      <rgbColor rgb="FFEBF5FB"/>
      <rgbColor rgb="FFF2F3F4"/>
      <rgbColor rgb="FFFDFEFE"/>
      <rgbColor rgb="FFFDEDEC"/>
      <rgbColor rgb="FF1A4A6A"/>
      <rgbColor rgb="FF33CCCC"/>
      <rgbColor rgb="FF99CC00"/>
      <rgbColor rgb="FFFFCC00"/>
      <rgbColor rgb="FFFF9900"/>
      <rgbColor rgb="FFFF6600"/>
      <rgbColor rgb="FF555555"/>
      <rgbColor rgb="FF969696"/>
      <rgbColor rgb="FF1A3A6A"/>
      <rgbColor rgb="FF1A6B3A"/>
      <rgbColor rgb="FF0E4D2A"/>
      <rgbColor rgb="FF664400"/>
      <rgbColor rgb="FF993C1D"/>
      <rgbColor rgb="FF993366"/>
      <rgbColor rgb="FF4A2070"/>
      <rgbColor rgb="FF1A3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72"/>
  </cols>
  <sheetData>
    <row r="1" customFormat="false" ht="39.75" hidden="false" customHeight="true" outlineLevel="0" collapsed="false">
      <c r="A1" s="2" t="s">
        <v>0</v>
      </c>
      <c r="B1" s="2"/>
    </row>
    <row r="2" customFormat="false" ht="15" hidden="false" customHeight="true" outlineLevel="0" collapsed="false">
      <c r="A2" s="3" t="s">
        <v>1</v>
      </c>
      <c r="B2" s="3"/>
    </row>
    <row r="4" customFormat="false" ht="18" hidden="false" customHeight="true" outlineLevel="0" collapsed="false">
      <c r="A4" s="4" t="s">
        <v>2</v>
      </c>
      <c r="B4" s="4"/>
    </row>
    <row r="5" customFormat="false" ht="21.75" hidden="false" customHeight="true" outlineLevel="0" collapsed="false">
      <c r="A5" s="5" t="s">
        <v>3</v>
      </c>
      <c r="B5" s="6" t="s">
        <v>4</v>
      </c>
    </row>
    <row r="6" customFormat="false" ht="21.75" hidden="false" customHeight="true" outlineLevel="0" collapsed="false">
      <c r="A6" s="5" t="s">
        <v>5</v>
      </c>
      <c r="B6" s="6" t="s">
        <v>6</v>
      </c>
    </row>
    <row r="8" customFormat="false" ht="18" hidden="false" customHeight="true" outlineLevel="0" collapsed="false">
      <c r="A8" s="4" t="s">
        <v>7</v>
      </c>
      <c r="B8" s="4"/>
    </row>
    <row r="9" customFormat="false" ht="21.75" hidden="false" customHeight="true" outlineLevel="0" collapsed="false">
      <c r="A9" s="5" t="s">
        <v>8</v>
      </c>
      <c r="B9" s="6" t="s">
        <v>9</v>
      </c>
    </row>
    <row r="10" customFormat="false" ht="21.75" hidden="false" customHeight="true" outlineLevel="0" collapsed="false">
      <c r="A10" s="5" t="s">
        <v>10</v>
      </c>
      <c r="B10" s="6" t="s">
        <v>11</v>
      </c>
    </row>
    <row r="11" customFormat="false" ht="21.75" hidden="false" customHeight="true" outlineLevel="0" collapsed="false">
      <c r="A11" s="5" t="s">
        <v>12</v>
      </c>
      <c r="B11" s="6" t="s">
        <v>13</v>
      </c>
    </row>
    <row r="12" customFormat="false" ht="21.75" hidden="false" customHeight="true" outlineLevel="0" collapsed="false">
      <c r="A12" s="5" t="s">
        <v>14</v>
      </c>
      <c r="B12" s="6" t="s">
        <v>15</v>
      </c>
    </row>
    <row r="13" customFormat="false" ht="21.75" hidden="false" customHeight="true" outlineLevel="0" collapsed="false">
      <c r="A13" s="5" t="s">
        <v>16</v>
      </c>
      <c r="B13" s="6" t="s">
        <v>17</v>
      </c>
    </row>
    <row r="14" customFormat="false" ht="21.75" hidden="false" customHeight="true" outlineLevel="0" collapsed="false">
      <c r="A14" s="5" t="s">
        <v>18</v>
      </c>
      <c r="B14" s="6" t="s">
        <v>19</v>
      </c>
    </row>
    <row r="15" customFormat="false" ht="21.75" hidden="false" customHeight="true" outlineLevel="0" collapsed="false">
      <c r="A15" s="5" t="s">
        <v>20</v>
      </c>
      <c r="B15" s="6" t="s">
        <v>21</v>
      </c>
    </row>
    <row r="16" customFormat="false" ht="21.75" hidden="false" customHeight="true" outlineLevel="0" collapsed="false">
      <c r="A16" s="5" t="s">
        <v>22</v>
      </c>
      <c r="B16" s="6" t="s">
        <v>23</v>
      </c>
    </row>
    <row r="17" customFormat="false" ht="21.75" hidden="false" customHeight="true" outlineLevel="0" collapsed="false">
      <c r="A17" s="5" t="s">
        <v>24</v>
      </c>
      <c r="B17" s="6" t="s">
        <v>25</v>
      </c>
    </row>
    <row r="19" customFormat="false" ht="18" hidden="false" customHeight="true" outlineLevel="0" collapsed="false">
      <c r="A19" s="4" t="s">
        <v>26</v>
      </c>
      <c r="B19" s="4"/>
    </row>
    <row r="20" customFormat="false" ht="21.75" hidden="false" customHeight="true" outlineLevel="0" collapsed="false">
      <c r="A20" s="5" t="s">
        <v>27</v>
      </c>
      <c r="B20" s="6" t="s">
        <v>28</v>
      </c>
    </row>
    <row r="21" customFormat="false" ht="21.75" hidden="false" customHeight="true" outlineLevel="0" collapsed="false">
      <c r="A21" s="5" t="s">
        <v>29</v>
      </c>
      <c r="B21" s="6" t="s">
        <v>30</v>
      </c>
    </row>
    <row r="22" customFormat="false" ht="21.75" hidden="false" customHeight="true" outlineLevel="0" collapsed="false">
      <c r="A22" s="5" t="s">
        <v>31</v>
      </c>
      <c r="B22" s="6" t="s">
        <v>32</v>
      </c>
    </row>
    <row r="23" customFormat="false" ht="21.75" hidden="false" customHeight="true" outlineLevel="0" collapsed="false">
      <c r="A23" s="5" t="s">
        <v>33</v>
      </c>
      <c r="B23" s="6" t="s">
        <v>34</v>
      </c>
    </row>
    <row r="24" customFormat="false" ht="21.75" hidden="false" customHeight="true" outlineLevel="0" collapsed="false">
      <c r="A24" s="5" t="s">
        <v>35</v>
      </c>
      <c r="B24" s="6" t="s">
        <v>36</v>
      </c>
    </row>
    <row r="25" customFormat="false" ht="21.75" hidden="false" customHeight="true" outlineLevel="0" collapsed="false">
      <c r="A25" s="5" t="s">
        <v>37</v>
      </c>
      <c r="B25" s="6" t="s">
        <v>38</v>
      </c>
    </row>
    <row r="26" customFormat="false" ht="21.75" hidden="false" customHeight="true" outlineLevel="0" collapsed="false">
      <c r="A26" s="5" t="s">
        <v>39</v>
      </c>
      <c r="B26" s="6" t="s">
        <v>40</v>
      </c>
    </row>
    <row r="27" customFormat="false" ht="21.75" hidden="false" customHeight="true" outlineLevel="0" collapsed="false">
      <c r="A27" s="5" t="s">
        <v>41</v>
      </c>
      <c r="B27" s="6" t="s">
        <v>42</v>
      </c>
    </row>
    <row r="28" customFormat="false" ht="21.75" hidden="false" customHeight="true" outlineLevel="0" collapsed="false">
      <c r="A28" s="5" t="s">
        <v>43</v>
      </c>
      <c r="B28" s="6" t="s">
        <v>44</v>
      </c>
    </row>
    <row r="29" customFormat="false" ht="21.75" hidden="false" customHeight="true" outlineLevel="0" collapsed="false">
      <c r="A29" s="5" t="s">
        <v>45</v>
      </c>
      <c r="B29" s="6" t="s">
        <v>46</v>
      </c>
    </row>
    <row r="30" customFormat="false" ht="21.75" hidden="false" customHeight="true" outlineLevel="0" collapsed="false">
      <c r="A30" s="5" t="s">
        <v>47</v>
      </c>
      <c r="B30" s="6" t="s">
        <v>48</v>
      </c>
    </row>
    <row r="31" customFormat="false" ht="21.75" hidden="false" customHeight="true" outlineLevel="0" collapsed="false">
      <c r="A31" s="5" t="s">
        <v>20</v>
      </c>
      <c r="B31" s="6" t="s">
        <v>49</v>
      </c>
    </row>
    <row r="32" customFormat="false" ht="21.75" hidden="false" customHeight="true" outlineLevel="0" collapsed="false">
      <c r="A32" s="5" t="s">
        <v>50</v>
      </c>
      <c r="B32" s="6" t="s">
        <v>51</v>
      </c>
    </row>
    <row r="33" customFormat="false" ht="21.75" hidden="false" customHeight="true" outlineLevel="0" collapsed="false">
      <c r="A33" s="5" t="s">
        <v>52</v>
      </c>
      <c r="B33" s="6" t="s">
        <v>53</v>
      </c>
    </row>
    <row r="34" customFormat="false" ht="21.75" hidden="false" customHeight="true" outlineLevel="0" collapsed="false">
      <c r="A34" s="5" t="s">
        <v>54</v>
      </c>
      <c r="B34" s="6" t="s">
        <v>55</v>
      </c>
    </row>
    <row r="35" customFormat="false" ht="21.75" hidden="false" customHeight="true" outlineLevel="0" collapsed="false">
      <c r="A35" s="5" t="s">
        <v>56</v>
      </c>
      <c r="B35" s="6" t="s">
        <v>57</v>
      </c>
    </row>
    <row r="36" customFormat="false" ht="21.75" hidden="false" customHeight="true" outlineLevel="0" collapsed="false">
      <c r="A36" s="5" t="s">
        <v>22</v>
      </c>
      <c r="B36" s="6" t="s">
        <v>58</v>
      </c>
    </row>
    <row r="37" customFormat="false" ht="21.75" hidden="false" customHeight="true" outlineLevel="0" collapsed="false">
      <c r="A37" s="5" t="s">
        <v>59</v>
      </c>
      <c r="B37" s="6" t="s">
        <v>60</v>
      </c>
    </row>
    <row r="38" customFormat="false" ht="21.75" hidden="false" customHeight="true" outlineLevel="0" collapsed="false">
      <c r="A38" s="5" t="s">
        <v>61</v>
      </c>
      <c r="B38" s="6" t="s">
        <v>62</v>
      </c>
    </row>
    <row r="39" customFormat="false" ht="21.75" hidden="false" customHeight="true" outlineLevel="0" collapsed="false">
      <c r="A39" s="5" t="s">
        <v>63</v>
      </c>
      <c r="B39" s="6" t="s">
        <v>64</v>
      </c>
    </row>
    <row r="40" customFormat="false" ht="21.75" hidden="false" customHeight="true" outlineLevel="0" collapsed="false">
      <c r="A40" s="5" t="s">
        <v>65</v>
      </c>
      <c r="B40" s="6" t="s">
        <v>66</v>
      </c>
    </row>
    <row r="41" customFormat="false" ht="21.75" hidden="false" customHeight="true" outlineLevel="0" collapsed="false">
      <c r="A41" s="5" t="s">
        <v>67</v>
      </c>
      <c r="B41" s="6" t="s">
        <v>68</v>
      </c>
    </row>
    <row r="42" customFormat="false" ht="21.75" hidden="false" customHeight="true" outlineLevel="0" collapsed="false">
      <c r="A42" s="5" t="s">
        <v>69</v>
      </c>
      <c r="B42" s="6" t="s">
        <v>70</v>
      </c>
    </row>
    <row r="43" customFormat="false" ht="21.75" hidden="false" customHeight="true" outlineLevel="0" collapsed="false">
      <c r="A43" s="5" t="s">
        <v>71</v>
      </c>
      <c r="B43" s="6" t="s">
        <v>72</v>
      </c>
    </row>
    <row r="45" customFormat="false" ht="18" hidden="false" customHeight="true" outlineLevel="0" collapsed="false">
      <c r="A45" s="4" t="s">
        <v>73</v>
      </c>
      <c r="B45" s="4"/>
    </row>
    <row r="46" customFormat="false" ht="21.75" hidden="false" customHeight="true" outlineLevel="0" collapsed="false">
      <c r="A46" s="5" t="s">
        <v>74</v>
      </c>
      <c r="B46" s="6" t="s">
        <v>75</v>
      </c>
    </row>
    <row r="47" customFormat="false" ht="21.75" hidden="false" customHeight="true" outlineLevel="0" collapsed="false">
      <c r="A47" s="5" t="s">
        <v>76</v>
      </c>
      <c r="B47" s="6" t="s">
        <v>77</v>
      </c>
    </row>
    <row r="48" customFormat="false" ht="21.75" hidden="false" customHeight="true" outlineLevel="0" collapsed="false">
      <c r="A48" s="5" t="s">
        <v>78</v>
      </c>
      <c r="B48" s="6" t="s">
        <v>79</v>
      </c>
    </row>
    <row r="49" customFormat="false" ht="21.75" hidden="false" customHeight="true" outlineLevel="0" collapsed="false">
      <c r="A49" s="5" t="s">
        <v>80</v>
      </c>
      <c r="B49" s="6" t="s">
        <v>81</v>
      </c>
    </row>
    <row r="51" customFormat="false" ht="18" hidden="false" customHeight="true" outlineLevel="0" collapsed="false">
      <c r="A51" s="4" t="s">
        <v>82</v>
      </c>
      <c r="B51" s="4"/>
    </row>
    <row r="52" customFormat="false" ht="21.75" hidden="false" customHeight="true" outlineLevel="0" collapsed="false">
      <c r="A52" s="5" t="s">
        <v>83</v>
      </c>
      <c r="B52" s="6" t="s">
        <v>84</v>
      </c>
    </row>
    <row r="53" customFormat="false" ht="21.75" hidden="false" customHeight="true" outlineLevel="0" collapsed="false">
      <c r="A53" s="5" t="s">
        <v>85</v>
      </c>
      <c r="B53" s="6" t="s">
        <v>86</v>
      </c>
    </row>
    <row r="55" customFormat="false" ht="18" hidden="false" customHeight="true" outlineLevel="0" collapsed="false">
      <c r="A55" s="4" t="s">
        <v>87</v>
      </c>
      <c r="B55" s="4"/>
    </row>
    <row r="56" customFormat="false" ht="21.75" hidden="false" customHeight="true" outlineLevel="0" collapsed="false">
      <c r="A56" s="5" t="s">
        <v>83</v>
      </c>
      <c r="B56" s="6" t="s">
        <v>88</v>
      </c>
    </row>
    <row r="57" customFormat="false" ht="21.75" hidden="false" customHeight="true" outlineLevel="0" collapsed="false">
      <c r="A57" s="5" t="s">
        <v>89</v>
      </c>
      <c r="B57" s="6" t="s">
        <v>90</v>
      </c>
    </row>
    <row r="58" customFormat="false" ht="21.75" hidden="false" customHeight="true" outlineLevel="0" collapsed="false">
      <c r="A58" s="5" t="s">
        <v>91</v>
      </c>
      <c r="B58" s="6" t="s">
        <v>92</v>
      </c>
    </row>
    <row r="60" customFormat="false" ht="18" hidden="false" customHeight="true" outlineLevel="0" collapsed="false">
      <c r="A60" s="4" t="s">
        <v>93</v>
      </c>
      <c r="B60" s="4"/>
    </row>
    <row r="61" customFormat="false" ht="21.75" hidden="false" customHeight="true" outlineLevel="0" collapsed="false">
      <c r="A61" s="5" t="s">
        <v>94</v>
      </c>
      <c r="B61" s="6" t="s">
        <v>95</v>
      </c>
    </row>
    <row r="62" customFormat="false" ht="21.75" hidden="false" customHeight="true" outlineLevel="0" collapsed="false">
      <c r="A62" s="5" t="s">
        <v>96</v>
      </c>
      <c r="B62" s="6" t="s">
        <v>97</v>
      </c>
    </row>
    <row r="63" customFormat="false" ht="21.75" hidden="false" customHeight="true" outlineLevel="0" collapsed="false">
      <c r="A63" s="5" t="s">
        <v>98</v>
      </c>
      <c r="B63" s="6" t="s">
        <v>99</v>
      </c>
    </row>
    <row r="64" customFormat="false" ht="21.75" hidden="false" customHeight="true" outlineLevel="0" collapsed="false">
      <c r="A64" s="5" t="s">
        <v>100</v>
      </c>
      <c r="B64" s="6" t="s">
        <v>101</v>
      </c>
    </row>
    <row r="66" customFormat="false" ht="15" hidden="false" customHeight="false" outlineLevel="0" collapsed="false">
      <c r="A66" s="7" t="s">
        <v>102</v>
      </c>
      <c r="B66" s="7"/>
    </row>
    <row r="67" customFormat="false" ht="25.5" hidden="false" customHeight="true" outlineLevel="0" collapsed="false">
      <c r="A67" s="8" t="s">
        <v>103</v>
      </c>
      <c r="B67" s="9" t="s">
        <v>104</v>
      </c>
    </row>
    <row r="68" customFormat="false" ht="25.5" hidden="false" customHeight="true" outlineLevel="0" collapsed="false">
      <c r="A68" s="8" t="s">
        <v>105</v>
      </c>
      <c r="B68" s="9" t="s">
        <v>106</v>
      </c>
    </row>
    <row r="69" customFormat="false" ht="25.5" hidden="false" customHeight="true" outlineLevel="0" collapsed="false">
      <c r="A69" s="8" t="s">
        <v>107</v>
      </c>
      <c r="B69" s="9" t="s">
        <v>108</v>
      </c>
    </row>
    <row r="70" customFormat="false" ht="25.5" hidden="false" customHeight="true" outlineLevel="0" collapsed="false">
      <c r="A70" s="8" t="s">
        <v>109</v>
      </c>
      <c r="B70" s="9" t="s">
        <v>110</v>
      </c>
    </row>
  </sheetData>
  <mergeCells count="10">
    <mergeCell ref="A1:B1"/>
    <mergeCell ref="A2:B2"/>
    <mergeCell ref="A4:B4"/>
    <mergeCell ref="A8:B8"/>
    <mergeCell ref="A19:B19"/>
    <mergeCell ref="A45:B45"/>
    <mergeCell ref="A51:B51"/>
    <mergeCell ref="A55:B55"/>
    <mergeCell ref="A60:B60"/>
    <mergeCell ref="A66:B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22"/>
    <col collapsed="false" customWidth="true" hidden="false" outlineLevel="0" max="4" min="4" style="0" width="40"/>
  </cols>
  <sheetData>
    <row r="1" customFormat="false" ht="16.15" hidden="false" customHeight="true" outlineLevel="0" collapsed="false">
      <c r="A1" s="10" t="s">
        <v>111</v>
      </c>
      <c r="B1" s="10"/>
      <c r="C1" s="10"/>
      <c r="D1" s="10"/>
    </row>
    <row r="2" customFormat="false" ht="19.4" hidden="false" customHeight="true" outlineLevel="0" collapsed="false">
      <c r="A2" s="11" t="s">
        <v>112</v>
      </c>
      <c r="B2" s="11"/>
      <c r="C2" s="11"/>
      <c r="D2" s="11"/>
    </row>
    <row r="3" customFormat="false" ht="19.5" hidden="false" customHeight="true" outlineLevel="0" collapsed="false">
      <c r="A3" s="12" t="s">
        <v>113</v>
      </c>
      <c r="B3" s="12" t="s">
        <v>114</v>
      </c>
      <c r="C3" s="12" t="s">
        <v>115</v>
      </c>
      <c r="D3" s="12" t="s">
        <v>116</v>
      </c>
    </row>
    <row r="4" customFormat="false" ht="18" hidden="false" customHeight="true" outlineLevel="0" collapsed="false">
      <c r="A4" s="7" t="s">
        <v>117</v>
      </c>
      <c r="B4" s="7"/>
      <c r="C4" s="7"/>
      <c r="D4" s="7"/>
    </row>
    <row r="5" customFormat="false" ht="21.75" hidden="false" customHeight="true" outlineLevel="0" collapsed="false">
      <c r="A5" s="13" t="s">
        <v>118</v>
      </c>
      <c r="B5" s="14" t="n">
        <v>1123</v>
      </c>
      <c r="C5" s="15" t="s">
        <v>119</v>
      </c>
      <c r="D5" s="16" t="s">
        <v>120</v>
      </c>
    </row>
    <row r="6" customFormat="false" ht="21.75" hidden="false" customHeight="true" outlineLevel="0" collapsed="false">
      <c r="A6" s="13" t="s">
        <v>121</v>
      </c>
      <c r="B6" s="17" t="n">
        <v>0.2</v>
      </c>
      <c r="C6" s="15" t="s">
        <v>122</v>
      </c>
      <c r="D6" s="16" t="s">
        <v>123</v>
      </c>
    </row>
    <row r="7" customFormat="false" ht="21.75" hidden="false" customHeight="true" outlineLevel="0" collapsed="false">
      <c r="A7" s="13" t="s">
        <v>124</v>
      </c>
      <c r="B7" s="18" t="n">
        <v>0.07</v>
      </c>
      <c r="C7" s="15" t="s">
        <v>125</v>
      </c>
      <c r="D7" s="16" t="s">
        <v>126</v>
      </c>
    </row>
    <row r="8" customFormat="false" ht="21.75" hidden="false" customHeight="true" outlineLevel="0" collapsed="false">
      <c r="A8" s="13" t="s">
        <v>127</v>
      </c>
      <c r="B8" s="18" t="n">
        <v>0.075</v>
      </c>
      <c r="C8" s="15" t="s">
        <v>125</v>
      </c>
      <c r="D8" s="16" t="s">
        <v>128</v>
      </c>
    </row>
    <row r="9" customFormat="false" ht="21.75" hidden="false" customHeight="true" outlineLevel="0" collapsed="false">
      <c r="A9" s="13" t="s">
        <v>129</v>
      </c>
      <c r="B9" s="18" t="n">
        <v>0.065</v>
      </c>
      <c r="C9" s="15" t="s">
        <v>125</v>
      </c>
      <c r="D9" s="16" t="s">
        <v>130</v>
      </c>
    </row>
    <row r="10" customFormat="false" ht="21.75" hidden="false" customHeight="true" outlineLevel="0" collapsed="false">
      <c r="A10" s="13" t="s">
        <v>131</v>
      </c>
      <c r="B10" s="18" t="n">
        <v>0.075</v>
      </c>
      <c r="C10" s="15" t="s">
        <v>125</v>
      </c>
      <c r="D10" s="16" t="s">
        <v>132</v>
      </c>
    </row>
    <row r="11" customFormat="false" ht="21.75" hidden="false" customHeight="true" outlineLevel="0" collapsed="false">
      <c r="A11" s="13" t="s">
        <v>133</v>
      </c>
      <c r="B11" s="18" t="n">
        <v>0.09</v>
      </c>
      <c r="C11" s="15" t="s">
        <v>125</v>
      </c>
      <c r="D11" s="16" t="s">
        <v>134</v>
      </c>
    </row>
    <row r="12" customFormat="false" ht="21.75" hidden="false" customHeight="true" outlineLevel="0" collapsed="false">
      <c r="A12" s="13" t="s">
        <v>135</v>
      </c>
      <c r="B12" s="18" t="n">
        <v>0.095</v>
      </c>
      <c r="C12" s="15" t="s">
        <v>125</v>
      </c>
      <c r="D12" s="16" t="s">
        <v>136</v>
      </c>
    </row>
    <row r="13" customFormat="false" ht="21.75" hidden="false" customHeight="true" outlineLevel="0" collapsed="false">
      <c r="A13" s="13" t="s">
        <v>137</v>
      </c>
      <c r="B13" s="17" t="n">
        <v>0.1</v>
      </c>
      <c r="C13" s="15" t="s">
        <v>125</v>
      </c>
      <c r="D13" s="16" t="s">
        <v>138</v>
      </c>
    </row>
    <row r="14" customFormat="false" ht="21.75" hidden="false" customHeight="true" outlineLevel="0" collapsed="false">
      <c r="A14" s="13" t="s">
        <v>139</v>
      </c>
      <c r="B14" s="18" t="n">
        <v>0.095</v>
      </c>
      <c r="C14" s="15" t="s">
        <v>125</v>
      </c>
      <c r="D14" s="16" t="s">
        <v>140</v>
      </c>
    </row>
    <row r="15" customFormat="false" ht="21.75" hidden="false" customHeight="true" outlineLevel="0" collapsed="false">
      <c r="A15" s="13" t="s">
        <v>141</v>
      </c>
      <c r="B15" s="18" t="n">
        <v>0.09</v>
      </c>
      <c r="C15" s="15" t="s">
        <v>125</v>
      </c>
      <c r="D15" s="16" t="s">
        <v>142</v>
      </c>
    </row>
    <row r="16" customFormat="false" ht="21.75" hidden="false" customHeight="true" outlineLevel="0" collapsed="false">
      <c r="A16" s="13" t="s">
        <v>143</v>
      </c>
      <c r="B16" s="18" t="n">
        <v>0.09</v>
      </c>
      <c r="C16" s="15" t="s">
        <v>125</v>
      </c>
      <c r="D16" s="16" t="s">
        <v>144</v>
      </c>
    </row>
    <row r="17" customFormat="false" ht="21.75" hidden="false" customHeight="true" outlineLevel="0" collapsed="false">
      <c r="A17" s="13" t="s">
        <v>145</v>
      </c>
      <c r="B17" s="18" t="n">
        <v>0.085</v>
      </c>
      <c r="C17" s="15" t="s">
        <v>125</v>
      </c>
      <c r="D17" s="16" t="s">
        <v>146</v>
      </c>
    </row>
    <row r="18" customFormat="false" ht="21.75" hidden="false" customHeight="true" outlineLevel="0" collapsed="false">
      <c r="A18" s="13" t="s">
        <v>147</v>
      </c>
      <c r="B18" s="18" t="n">
        <v>0.07</v>
      </c>
      <c r="C18" s="15" t="s">
        <v>125</v>
      </c>
      <c r="D18" s="16" t="s">
        <v>148</v>
      </c>
    </row>
    <row r="19" customFormat="false" ht="21.75" hidden="false" customHeight="true" outlineLevel="0" collapsed="false">
      <c r="A19" s="13" t="s">
        <v>149</v>
      </c>
      <c r="B19" s="19" t="n">
        <f aca="false">SUM(B6:B17)</f>
        <v>1.13</v>
      </c>
      <c r="C19" s="15" t="s">
        <v>150</v>
      </c>
      <c r="D19" s="16" t="s">
        <v>151</v>
      </c>
    </row>
    <row r="20" customFormat="false" ht="18" hidden="false" customHeight="true" outlineLevel="0" collapsed="false">
      <c r="A20" s="7" t="s">
        <v>152</v>
      </c>
      <c r="B20" s="7"/>
      <c r="C20" s="7"/>
      <c r="D20" s="7"/>
    </row>
    <row r="21" customFormat="false" ht="21.75" hidden="false" customHeight="true" outlineLevel="0" collapsed="false">
      <c r="A21" s="13" t="s">
        <v>153</v>
      </c>
      <c r="B21" s="20" t="n">
        <v>155.64</v>
      </c>
      <c r="C21" s="15" t="s">
        <v>154</v>
      </c>
      <c r="D21" s="16" t="s">
        <v>155</v>
      </c>
    </row>
    <row r="22" customFormat="false" ht="21.75" hidden="false" customHeight="true" outlineLevel="0" collapsed="false">
      <c r="A22" s="13" t="s">
        <v>156</v>
      </c>
      <c r="B22" s="17" t="n">
        <v>0.0793</v>
      </c>
      <c r="C22" s="15" t="s">
        <v>157</v>
      </c>
      <c r="D22" s="16" t="s">
        <v>158</v>
      </c>
    </row>
    <row r="23" customFormat="false" ht="18" hidden="false" customHeight="true" outlineLevel="0" collapsed="false">
      <c r="A23" s="7" t="s">
        <v>159</v>
      </c>
      <c r="B23" s="7"/>
      <c r="C23" s="7"/>
      <c r="D23" s="7"/>
    </row>
    <row r="24" customFormat="false" ht="21.75" hidden="false" customHeight="true" outlineLevel="0" collapsed="false">
      <c r="A24" s="13" t="s">
        <v>160</v>
      </c>
      <c r="B24" s="20" t="n">
        <v>91.65</v>
      </c>
      <c r="C24" s="15" t="s">
        <v>161</v>
      </c>
      <c r="D24" s="16" t="s">
        <v>162</v>
      </c>
    </row>
    <row r="25" customFormat="false" ht="21.75" hidden="false" customHeight="true" outlineLevel="0" collapsed="false">
      <c r="A25" s="13" t="s">
        <v>163</v>
      </c>
      <c r="B25" s="21" t="n">
        <v>9.06</v>
      </c>
      <c r="C25" s="15" t="s">
        <v>164</v>
      </c>
      <c r="D25" s="16" t="s">
        <v>165</v>
      </c>
    </row>
    <row r="26" customFormat="false" ht="21.75" hidden="false" customHeight="true" outlineLevel="0" collapsed="false">
      <c r="A26" s="13" t="s">
        <v>166</v>
      </c>
      <c r="B26" s="21" t="n">
        <v>4.46</v>
      </c>
      <c r="C26" s="15" t="s">
        <v>167</v>
      </c>
      <c r="D26" s="16" t="s">
        <v>168</v>
      </c>
    </row>
    <row r="27" customFormat="false" ht="18" hidden="false" customHeight="true" outlineLevel="0" collapsed="false">
      <c r="A27" s="7" t="s">
        <v>169</v>
      </c>
      <c r="B27" s="7"/>
      <c r="C27" s="7"/>
      <c r="D27" s="7"/>
    </row>
    <row r="28" customFormat="false" ht="21.75" hidden="false" customHeight="true" outlineLevel="0" collapsed="false">
      <c r="A28" s="13" t="s">
        <v>170</v>
      </c>
      <c r="B28" s="14" t="n">
        <v>17702</v>
      </c>
      <c r="C28" s="15" t="s">
        <v>171</v>
      </c>
      <c r="D28" s="16" t="s">
        <v>172</v>
      </c>
    </row>
    <row r="29" customFormat="false" ht="21.75" hidden="false" customHeight="true" outlineLevel="0" collapsed="false">
      <c r="A29" s="13" t="s">
        <v>173</v>
      </c>
      <c r="B29" s="22" t="s">
        <v>174</v>
      </c>
      <c r="C29" s="15" t="s">
        <v>175</v>
      </c>
      <c r="D29" s="16" t="s">
        <v>176</v>
      </c>
    </row>
    <row r="30" customFormat="false" ht="18" hidden="false" customHeight="true" outlineLevel="0" collapsed="false">
      <c r="A30" s="7" t="s">
        <v>177</v>
      </c>
      <c r="B30" s="7"/>
      <c r="C30" s="7"/>
      <c r="D30" s="7"/>
    </row>
    <row r="31" customFormat="false" ht="21.75" hidden="false" customHeight="true" outlineLevel="0" collapsed="false">
      <c r="A31" s="13" t="s">
        <v>178</v>
      </c>
      <c r="B31" s="18" t="n">
        <v>0.01</v>
      </c>
      <c r="C31" s="15" t="s">
        <v>179</v>
      </c>
      <c r="D31" s="16" t="s">
        <v>180</v>
      </c>
    </row>
    <row r="32" customFormat="false" ht="21.75" hidden="false" customHeight="true" outlineLevel="0" collapsed="false">
      <c r="A32" s="13" t="s">
        <v>181</v>
      </c>
      <c r="B32" s="18" t="n">
        <v>0.001</v>
      </c>
      <c r="C32" s="15" t="s">
        <v>182</v>
      </c>
      <c r="D32" s="16" t="s">
        <v>183</v>
      </c>
    </row>
    <row r="33" customFormat="false" ht="21.75" hidden="false" customHeight="true" outlineLevel="0" collapsed="false">
      <c r="A33" s="13" t="s">
        <v>184</v>
      </c>
      <c r="B33" s="18" t="n">
        <v>0.18</v>
      </c>
      <c r="C33" s="15" t="s">
        <v>185</v>
      </c>
      <c r="D33" s="16" t="s">
        <v>186</v>
      </c>
    </row>
    <row r="34" customFormat="false" ht="18" hidden="false" customHeight="true" outlineLevel="0" collapsed="false">
      <c r="A34" s="7" t="s">
        <v>187</v>
      </c>
      <c r="B34" s="7"/>
      <c r="C34" s="7"/>
      <c r="D34" s="7"/>
    </row>
    <row r="35" customFormat="false" ht="21.75" hidden="false" customHeight="true" outlineLevel="0" collapsed="false">
      <c r="A35" s="13" t="s">
        <v>188</v>
      </c>
      <c r="B35" s="23" t="n">
        <v>10000</v>
      </c>
      <c r="C35" s="15" t="s">
        <v>189</v>
      </c>
      <c r="D35" s="16" t="s">
        <v>190</v>
      </c>
    </row>
    <row r="36" customFormat="false" ht="21.75" hidden="false" customHeight="true" outlineLevel="0" collapsed="false">
      <c r="A36" s="13" t="s">
        <v>191</v>
      </c>
      <c r="B36" s="14" t="n">
        <v>15000</v>
      </c>
      <c r="C36" s="15" t="s">
        <v>192</v>
      </c>
      <c r="D36" s="16" t="s">
        <v>193</v>
      </c>
    </row>
    <row r="37" customFormat="false" ht="21.75" hidden="false" customHeight="true" outlineLevel="0" collapsed="false">
      <c r="A37" s="13" t="s">
        <v>194</v>
      </c>
      <c r="B37" s="23" t="n">
        <v>5000</v>
      </c>
      <c r="C37" s="15" t="s">
        <v>195</v>
      </c>
      <c r="D37" s="16" t="s">
        <v>196</v>
      </c>
    </row>
    <row r="38" customFormat="false" ht="21.75" hidden="false" customHeight="true" outlineLevel="0" collapsed="false">
      <c r="A38" s="13" t="s">
        <v>197</v>
      </c>
      <c r="B38" s="19" t="n">
        <f aca="false">B31+B32+B33</f>
        <v>0.191</v>
      </c>
      <c r="C38" s="15" t="s">
        <v>198</v>
      </c>
      <c r="D38" s="16" t="s">
        <v>199</v>
      </c>
    </row>
    <row r="39" customFormat="false" ht="21.75" hidden="false" customHeight="true" outlineLevel="0" collapsed="false">
      <c r="A39" s="13" t="s">
        <v>200</v>
      </c>
      <c r="B39" s="19" t="n">
        <f aca="false">B34*12</f>
        <v>0</v>
      </c>
      <c r="C39" s="15" t="s">
        <v>201</v>
      </c>
      <c r="D39" s="16" t="s">
        <v>202</v>
      </c>
    </row>
    <row r="40" customFormat="false" ht="18" hidden="false" customHeight="true" outlineLevel="0" collapsed="false">
      <c r="A40" s="7" t="s">
        <v>203</v>
      </c>
      <c r="B40" s="7"/>
      <c r="C40" s="7"/>
      <c r="D40" s="7"/>
    </row>
    <row r="41" customFormat="false" ht="21.75" hidden="false" customHeight="true" outlineLevel="0" collapsed="false">
      <c r="A41" s="13" t="s">
        <v>204</v>
      </c>
      <c r="B41" s="24" t="n">
        <v>1</v>
      </c>
      <c r="C41" s="15" t="s">
        <v>205</v>
      </c>
      <c r="D41" s="16" t="s">
        <v>206</v>
      </c>
    </row>
    <row r="42" customFormat="false" ht="21.75" hidden="false" customHeight="true" outlineLevel="0" collapsed="false">
      <c r="A42" s="13" t="s">
        <v>207</v>
      </c>
      <c r="B42" s="18" t="n">
        <v>0.05</v>
      </c>
      <c r="C42" s="15" t="s">
        <v>208</v>
      </c>
      <c r="D42" s="16" t="s">
        <v>209</v>
      </c>
    </row>
    <row r="43" customFormat="false" ht="21.75" hidden="false" customHeight="true" outlineLevel="0" collapsed="false">
      <c r="A43" s="13" t="s">
        <v>210</v>
      </c>
      <c r="B43" s="21" t="n">
        <v>-0.05</v>
      </c>
      <c r="C43" s="15" t="s">
        <v>211</v>
      </c>
      <c r="D43" s="16" t="s">
        <v>212</v>
      </c>
    </row>
    <row r="45" customFormat="false" ht="15" hidden="false" customHeight="false" outlineLevel="0" collapsed="false">
      <c r="A45" s="25" t="s">
        <v>213</v>
      </c>
      <c r="B45" s="25"/>
      <c r="C45" s="25"/>
      <c r="D45" s="25"/>
    </row>
  </sheetData>
  <mergeCells count="10">
    <mergeCell ref="A1:D1"/>
    <mergeCell ref="A2:D2"/>
    <mergeCell ref="A4:D4"/>
    <mergeCell ref="A20:D20"/>
    <mergeCell ref="A23:D23"/>
    <mergeCell ref="A27:D27"/>
    <mergeCell ref="A30:D30"/>
    <mergeCell ref="A34:D34"/>
    <mergeCell ref="A40:D40"/>
    <mergeCell ref="A45:D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18"/>
    <col collapsed="false" customWidth="true" hidden="false" outlineLevel="0" max="6" min="6" style="1" width="4"/>
    <col collapsed="false" customWidth="true" hidden="false" outlineLevel="0" max="7" min="7" style="1" width="32"/>
    <col collapsed="false" customWidth="true" hidden="false" outlineLevel="0" max="8" min="8" style="1" width="18"/>
  </cols>
  <sheetData>
    <row r="1" customFormat="false" ht="15.75" hidden="false" customHeight="true" outlineLevel="0" collapsed="false">
      <c r="A1" s="10" t="s">
        <v>214</v>
      </c>
      <c r="B1" s="10"/>
      <c r="C1" s="10"/>
      <c r="D1" s="10"/>
      <c r="E1" s="10"/>
      <c r="F1" s="10"/>
      <c r="G1" s="10"/>
      <c r="H1" s="10"/>
    </row>
    <row r="2" customFormat="false" ht="15" hidden="false" customHeight="true" outlineLevel="0" collapsed="false">
      <c r="A2" s="26" t="s">
        <v>215</v>
      </c>
      <c r="B2" s="26"/>
      <c r="C2" s="26"/>
      <c r="D2" s="26"/>
      <c r="E2" s="26"/>
      <c r="F2" s="26"/>
      <c r="G2" s="26"/>
      <c r="H2" s="26"/>
    </row>
    <row r="4" customFormat="false" ht="24" hidden="false" customHeight="true" outlineLevel="0" collapsed="false">
      <c r="A4" s="27" t="s">
        <v>216</v>
      </c>
      <c r="B4" s="12" t="s">
        <v>217</v>
      </c>
      <c r="C4" s="28" t="s">
        <v>218</v>
      </c>
      <c r="D4" s="29" t="s">
        <v>219</v>
      </c>
      <c r="E4" s="30" t="s">
        <v>220</v>
      </c>
    </row>
    <row r="5" customFormat="false" ht="15" hidden="false" customHeight="true" outlineLevel="0" collapsed="false">
      <c r="A5" s="31" t="s">
        <v>221</v>
      </c>
      <c r="B5" s="31"/>
      <c r="C5" s="31"/>
      <c r="D5" s="31"/>
      <c r="E5" s="31"/>
    </row>
    <row r="6" customFormat="false" ht="15" hidden="false" customHeight="true" outlineLevel="0" collapsed="false">
      <c r="A6" s="32" t="s">
        <v>222</v>
      </c>
      <c r="B6" s="33" t="n">
        <v>164</v>
      </c>
      <c r="C6" s="33" t="n">
        <v>164</v>
      </c>
      <c r="D6" s="33" t="n">
        <v>164</v>
      </c>
      <c r="E6" s="33" t="n">
        <v>164</v>
      </c>
    </row>
    <row r="7" customFormat="false" ht="15" hidden="false" customHeight="true" outlineLevel="0" collapsed="false">
      <c r="A7" s="32" t="s">
        <v>223</v>
      </c>
      <c r="B7" s="33" t="n">
        <v>92.35</v>
      </c>
      <c r="C7" s="33" t="n">
        <v>92.35</v>
      </c>
      <c r="D7" s="33" t="n">
        <v>92.35</v>
      </c>
      <c r="E7" s="33" t="n">
        <v>92.35</v>
      </c>
    </row>
    <row r="8" customFormat="false" ht="15" hidden="false" customHeight="true" outlineLevel="0" collapsed="false">
      <c r="A8" s="32" t="s">
        <v>224</v>
      </c>
      <c r="B8" s="34" t="n">
        <v>66</v>
      </c>
      <c r="C8" s="34" t="n">
        <v>25</v>
      </c>
      <c r="D8" s="34" t="n">
        <v>15</v>
      </c>
      <c r="E8" s="34" t="n">
        <v>5</v>
      </c>
    </row>
    <row r="9" customFormat="false" ht="15" hidden="false" customHeight="true" outlineLevel="0" collapsed="false">
      <c r="A9" s="32" t="s">
        <v>225</v>
      </c>
      <c r="B9" s="35" t="n">
        <v>0.08</v>
      </c>
      <c r="C9" s="35" t="n">
        <v>0.12</v>
      </c>
      <c r="D9" s="35" t="n">
        <v>0.05</v>
      </c>
      <c r="E9" s="35" t="n">
        <v>0.03</v>
      </c>
    </row>
    <row r="10" customFormat="false" ht="15" hidden="false" customHeight="true" outlineLevel="0" collapsed="false">
      <c r="A10" s="31"/>
      <c r="B10" s="31"/>
      <c r="C10" s="31"/>
      <c r="D10" s="31"/>
      <c r="E10" s="31"/>
    </row>
    <row r="11" customFormat="false" ht="15" hidden="false" customHeight="true" outlineLevel="0" collapsed="false">
      <c r="A11" s="31" t="s">
        <v>226</v>
      </c>
      <c r="B11" s="31"/>
      <c r="C11" s="31"/>
      <c r="D11" s="31"/>
      <c r="E11" s="31"/>
    </row>
    <row r="12" customFormat="false" ht="15" hidden="false" customHeight="true" outlineLevel="0" collapsed="false">
      <c r="A12" s="32" t="s">
        <v>227</v>
      </c>
      <c r="B12" s="36" t="n">
        <v>0</v>
      </c>
      <c r="C12" s="36" t="n">
        <v>0.05</v>
      </c>
      <c r="D12" s="36" t="n">
        <v>0.06</v>
      </c>
      <c r="E12" s="36" t="n">
        <v>0.09</v>
      </c>
    </row>
    <row r="13" customFormat="false" ht="15" hidden="false" customHeight="true" outlineLevel="0" collapsed="false">
      <c r="A13" s="32" t="s">
        <v>228</v>
      </c>
      <c r="B13" s="33" t="n">
        <v>9</v>
      </c>
      <c r="C13" s="33" t="n">
        <v>0</v>
      </c>
      <c r="D13" s="33" t="n">
        <v>0</v>
      </c>
      <c r="E13" s="33" t="n">
        <v>0</v>
      </c>
    </row>
    <row r="14" customFormat="false" ht="15" hidden="false" customHeight="true" outlineLevel="0" collapsed="false">
      <c r="A14" s="32" t="s">
        <v>229</v>
      </c>
      <c r="B14" s="33" t="n">
        <v>0</v>
      </c>
      <c r="C14" s="33" t="n">
        <v>25</v>
      </c>
      <c r="D14" s="33" t="n">
        <v>0</v>
      </c>
      <c r="E14" s="33" t="n">
        <v>0</v>
      </c>
    </row>
    <row r="15" customFormat="false" ht="15" hidden="false" customHeight="true" outlineLevel="0" collapsed="false">
      <c r="A15" s="32" t="s">
        <v>230</v>
      </c>
      <c r="B15" s="33" t="n">
        <v>0</v>
      </c>
      <c r="C15" s="33" t="n">
        <v>45</v>
      </c>
      <c r="D15" s="33" t="n">
        <v>0</v>
      </c>
      <c r="E15" s="33" t="n">
        <v>0</v>
      </c>
    </row>
    <row r="16" customFormat="false" ht="15" hidden="false" customHeight="true" outlineLevel="0" collapsed="false">
      <c r="A16" s="32" t="s">
        <v>231</v>
      </c>
      <c r="B16" s="33" t="n">
        <v>3.35</v>
      </c>
      <c r="C16" s="33" t="n">
        <v>55</v>
      </c>
      <c r="D16" s="33" t="n">
        <v>0</v>
      </c>
      <c r="E16" s="33" t="n">
        <v>0</v>
      </c>
    </row>
    <row r="17" customFormat="false" ht="15" hidden="false" customHeight="true" outlineLevel="0" collapsed="false">
      <c r="A17" s="32" t="s">
        <v>232</v>
      </c>
      <c r="B17" s="37" t="n">
        <v>0.18</v>
      </c>
      <c r="C17" s="37" t="n">
        <v>0.18</v>
      </c>
      <c r="D17" s="37" t="n">
        <v>0.18</v>
      </c>
      <c r="E17" s="37" t="n">
        <v>0</v>
      </c>
    </row>
    <row r="18" customFormat="false" ht="15" hidden="false" customHeight="true" outlineLevel="0" collapsed="false">
      <c r="A18" s="31"/>
      <c r="B18" s="31"/>
      <c r="C18" s="31"/>
      <c r="D18" s="31"/>
      <c r="E18" s="31"/>
    </row>
    <row r="19" customFormat="false" ht="15" hidden="false" customHeight="true" outlineLevel="0" collapsed="false">
      <c r="A19" s="31" t="s">
        <v>233</v>
      </c>
      <c r="B19" s="31"/>
      <c r="C19" s="31"/>
      <c r="D19" s="31"/>
      <c r="E19" s="31"/>
    </row>
    <row r="20" customFormat="false" ht="15" hidden="false" customHeight="true" outlineLevel="0" collapsed="false">
      <c r="A20" s="32" t="s">
        <v>178</v>
      </c>
      <c r="B20" s="36" t="n">
        <v>0.01</v>
      </c>
      <c r="C20" s="36" t="n">
        <v>0.01</v>
      </c>
      <c r="D20" s="36" t="n">
        <v>0</v>
      </c>
      <c r="E20" s="36" t="n">
        <v>0</v>
      </c>
    </row>
    <row r="21" customFormat="false" ht="15" hidden="false" customHeight="true" outlineLevel="0" collapsed="false">
      <c r="A21" s="32" t="s">
        <v>181</v>
      </c>
      <c r="B21" s="38" t="n">
        <v>0.001</v>
      </c>
      <c r="C21" s="38" t="n">
        <v>0.001</v>
      </c>
      <c r="D21" s="38" t="n">
        <v>0</v>
      </c>
      <c r="E21" s="38" t="n">
        <v>0</v>
      </c>
    </row>
    <row r="22" customFormat="false" ht="15" hidden="false" customHeight="true" outlineLevel="0" collapsed="false">
      <c r="A22" s="31"/>
      <c r="B22" s="31"/>
      <c r="C22" s="31"/>
      <c r="D22" s="31"/>
      <c r="E22" s="31"/>
    </row>
    <row r="23" customFormat="false" ht="15" hidden="false" customHeight="true" outlineLevel="0" collapsed="false">
      <c r="A23" s="31" t="s">
        <v>234</v>
      </c>
      <c r="B23" s="31"/>
      <c r="C23" s="31"/>
      <c r="D23" s="31"/>
      <c r="E23" s="31"/>
    </row>
    <row r="24" customFormat="false" ht="15" hidden="false" customHeight="true" outlineLevel="0" collapsed="false">
      <c r="A24" s="32" t="s">
        <v>235</v>
      </c>
      <c r="B24" s="39" t="n">
        <v>1475</v>
      </c>
      <c r="C24" s="39" t="n">
        <v>800</v>
      </c>
      <c r="D24" s="39" t="n">
        <v>0</v>
      </c>
      <c r="E24" s="39" t="n">
        <v>0</v>
      </c>
    </row>
    <row r="25" customFormat="false" ht="3.75" hidden="false" customHeight="true" outlineLevel="0" collapsed="false"/>
    <row r="26" customFormat="false" ht="15" hidden="false" customHeight="true" outlineLevel="0" collapsed="false">
      <c r="A26" s="40" t="s">
        <v>236</v>
      </c>
      <c r="B26" s="40"/>
      <c r="C26" s="40"/>
      <c r="D26" s="40"/>
      <c r="E26" s="40"/>
    </row>
    <row r="27" customFormat="false" ht="15" hidden="false" customHeight="true" outlineLevel="0" collapsed="false">
      <c r="A27" s="31" t="s">
        <v>237</v>
      </c>
      <c r="B27" s="31"/>
      <c r="C27" s="31"/>
      <c r="D27" s="31"/>
      <c r="E27" s="31"/>
    </row>
    <row r="28" customFormat="false" ht="15" hidden="false" customHeight="true" outlineLevel="0" collapsed="false">
      <c r="A28" s="41" t="s">
        <v>238</v>
      </c>
      <c r="B28" s="42" t="n">
        <f aca="false">ROUND(B8/(1-B9),0)</f>
        <v>72</v>
      </c>
      <c r="C28" s="42" t="n">
        <f aca="false">ROUND(C8/(1-C9),0)</f>
        <v>28</v>
      </c>
      <c r="D28" s="42" t="n">
        <f aca="false">ROUND(D8/(1-D9),0)</f>
        <v>16</v>
      </c>
      <c r="E28" s="42" t="n">
        <f aca="false">ROUND(E8/(1-E9),0)</f>
        <v>5</v>
      </c>
    </row>
    <row r="29" customFormat="false" ht="15" hidden="false" customHeight="true" outlineLevel="0" collapsed="false">
      <c r="A29" s="41" t="s">
        <v>29</v>
      </c>
      <c r="B29" s="42" t="n">
        <f aca="false">B8</f>
        <v>66</v>
      </c>
      <c r="C29" s="42" t="n">
        <f aca="false">C8</f>
        <v>25</v>
      </c>
      <c r="D29" s="42" t="n">
        <f aca="false">D8</f>
        <v>15</v>
      </c>
      <c r="E29" s="42" t="n">
        <f aca="false">E8</f>
        <v>5</v>
      </c>
    </row>
    <row r="30" customFormat="false" ht="15" hidden="false" customHeight="true" outlineLevel="0" collapsed="false">
      <c r="A30" s="41" t="s">
        <v>239</v>
      </c>
      <c r="B30" s="42" t="n">
        <f aca="false">ROUND(B8/(1-B9)*B6,0)</f>
        <v>11765</v>
      </c>
      <c r="C30" s="42" t="n">
        <f aca="false">ROUND(C8/(1-C9)*C6,0)</f>
        <v>4659</v>
      </c>
      <c r="D30" s="42" t="n">
        <f aca="false">ROUND(D8/(1-D9)*D6,0)</f>
        <v>2589</v>
      </c>
      <c r="E30" s="42" t="n">
        <f aca="false">ROUND(E8/(1-E9)*E6,0)</f>
        <v>845</v>
      </c>
    </row>
    <row r="31" customFormat="false" ht="15" hidden="false" customHeight="true" outlineLevel="0" collapsed="false">
      <c r="A31" s="41" t="s">
        <v>240</v>
      </c>
      <c r="B31" s="42" t="n">
        <f aca="false">ROUND((B8/(1-B9)-B8)*B6,0)</f>
        <v>941</v>
      </c>
      <c r="C31" s="42" t="n">
        <f aca="false">ROUND((C8/(1-C9)-C8)*C6,0)</f>
        <v>559</v>
      </c>
      <c r="D31" s="42" t="n">
        <f aca="false">ROUND((D8/(1-D9)-D8)*D6,0)</f>
        <v>129</v>
      </c>
      <c r="E31" s="42" t="n">
        <f aca="false">ROUND((E8/(1-E9)-E8)*E6,0)</f>
        <v>25</v>
      </c>
    </row>
    <row r="32" customFormat="false" ht="15" hidden="false" customHeight="true" outlineLevel="0" collapsed="false">
      <c r="A32" s="41" t="s">
        <v>241</v>
      </c>
      <c r="B32" s="42" t="n">
        <f aca="false">B8*B6</f>
        <v>10824</v>
      </c>
      <c r="C32" s="42" t="n">
        <f aca="false">C8*C6</f>
        <v>4100</v>
      </c>
      <c r="D32" s="42" t="n">
        <f aca="false">D8*D6</f>
        <v>2460</v>
      </c>
      <c r="E32" s="42" t="n">
        <f aca="false">E8*E6</f>
        <v>820</v>
      </c>
    </row>
    <row r="33" customFormat="false" ht="15" hidden="false" customHeight="true" outlineLevel="0" collapsed="false"/>
    <row r="34" customFormat="false" ht="15" hidden="false" customHeight="true" outlineLevel="0" collapsed="false">
      <c r="A34" s="31" t="s">
        <v>242</v>
      </c>
      <c r="B34" s="31"/>
      <c r="C34" s="31"/>
      <c r="D34" s="31"/>
      <c r="E34" s="31"/>
    </row>
    <row r="35" customFormat="false" ht="15" hidden="false" customHeight="true" outlineLevel="0" collapsed="false">
      <c r="A35" s="41" t="s">
        <v>243</v>
      </c>
      <c r="B35" s="42" t="n">
        <f aca="false">B8*B7</f>
        <v>6095.1</v>
      </c>
      <c r="C35" s="42" t="n">
        <f aca="false">C8*C7</f>
        <v>2308.75</v>
      </c>
      <c r="D35" s="42" t="n">
        <f aca="false">D8*D7</f>
        <v>1385.25</v>
      </c>
      <c r="E35" s="42" t="n">
        <f aca="false">E8*E7</f>
        <v>461.75</v>
      </c>
    </row>
    <row r="36" customFormat="false" ht="15" hidden="false" customHeight="true" outlineLevel="0" collapsed="false">
      <c r="A36" s="41" t="s">
        <v>244</v>
      </c>
      <c r="B36" s="42" t="n">
        <f aca="false">ROUND(B8*B6*B12,0)</f>
        <v>0</v>
      </c>
      <c r="C36" s="42" t="n">
        <f aca="false">ROUND(C8*C6*C12,0)</f>
        <v>205</v>
      </c>
      <c r="D36" s="42" t="n">
        <f aca="false">ROUND(D8*D6*D12,0)</f>
        <v>148</v>
      </c>
      <c r="E36" s="42" t="n">
        <f aca="false">ROUND(E8*E6*E12,0)</f>
        <v>74</v>
      </c>
    </row>
    <row r="37" customFormat="false" ht="15" hidden="false" customHeight="true" outlineLevel="0" collapsed="false">
      <c r="A37" s="41" t="s">
        <v>245</v>
      </c>
      <c r="B37" s="42" t="n">
        <f aca="false">B8*B13</f>
        <v>594</v>
      </c>
      <c r="C37" s="42" t="n">
        <f aca="false">C8*C13</f>
        <v>0</v>
      </c>
      <c r="D37" s="42" t="n">
        <f aca="false">D8*D13</f>
        <v>0</v>
      </c>
      <c r="E37" s="42" t="n">
        <f aca="false">E8*E13</f>
        <v>0</v>
      </c>
    </row>
    <row r="38" customFormat="false" ht="15" hidden="false" customHeight="true" outlineLevel="0" collapsed="false">
      <c r="A38" s="41" t="s">
        <v>246</v>
      </c>
      <c r="B38" s="42" t="n">
        <f aca="false">B8*B14</f>
        <v>0</v>
      </c>
      <c r="C38" s="42" t="n">
        <f aca="false">C8*C14</f>
        <v>625</v>
      </c>
      <c r="D38" s="42" t="n">
        <f aca="false">D8*D14</f>
        <v>0</v>
      </c>
      <c r="E38" s="42" t="n">
        <f aca="false">E8*E14</f>
        <v>0</v>
      </c>
    </row>
    <row r="39" customFormat="false" ht="15" hidden="false" customHeight="true" outlineLevel="0" collapsed="false">
      <c r="A39" s="41" t="s">
        <v>247</v>
      </c>
      <c r="B39" s="42" t="n">
        <f aca="false">B8*B15</f>
        <v>0</v>
      </c>
      <c r="C39" s="42" t="n">
        <f aca="false">C8*C15</f>
        <v>1125</v>
      </c>
      <c r="D39" s="42" t="n">
        <f aca="false">D8*D15</f>
        <v>0</v>
      </c>
      <c r="E39" s="42" t="n">
        <f aca="false">E8*E15</f>
        <v>0</v>
      </c>
    </row>
    <row r="40" customFormat="false" ht="15" hidden="false" customHeight="true" outlineLevel="0" collapsed="false">
      <c r="A40" s="41" t="s">
        <v>248</v>
      </c>
      <c r="B40" s="42" t="n">
        <f aca="false">ROUND((B8/(1-B9)-B8)*B16,0)</f>
        <v>19</v>
      </c>
      <c r="C40" s="42" t="n">
        <f aca="false">ROUND((C8/(1-C9)-C8)*C16,0)</f>
        <v>188</v>
      </c>
      <c r="D40" s="42" t="n">
        <f aca="false">ROUND((D8/(1-D9)-D8)*D16,0)</f>
        <v>0</v>
      </c>
      <c r="E40" s="42" t="n">
        <f aca="false">ROUND((E8/(1-E9)-E8)*E16,0)</f>
        <v>0</v>
      </c>
    </row>
    <row r="41" customFormat="false" ht="15" hidden="false" customHeight="true" outlineLevel="0" collapsed="false">
      <c r="A41" s="41" t="s">
        <v>249</v>
      </c>
      <c r="B41" s="42" t="n">
        <f aca="false">ROUND((B8*B6*B12+B8*B13+B8*B14)*B17,0)</f>
        <v>107</v>
      </c>
      <c r="C41" s="42" t="n">
        <f aca="false">ROUND((C8*C6*C12+C8*C13+C8*C14)*C17,0)</f>
        <v>149</v>
      </c>
      <c r="D41" s="42" t="n">
        <f aca="false">ROUND((D8*D6*D12+D8*D13+D8*D14)*D17,0)</f>
        <v>27</v>
      </c>
      <c r="E41" s="42" t="n">
        <f aca="false">ROUND((E8*E6*E12+E8*E13+E8*E14)*E17,0)</f>
        <v>0</v>
      </c>
    </row>
    <row r="42" customFormat="false" ht="15" hidden="false" customHeight="true" outlineLevel="0" collapsed="false">
      <c r="A42" s="41" t="s">
        <v>250</v>
      </c>
      <c r="B42" s="42" t="n">
        <f aca="false">ROUND(B8*B6*B20,0)</f>
        <v>108</v>
      </c>
      <c r="C42" s="42" t="n">
        <f aca="false">ROUND(C8*C6*C20,0)</f>
        <v>41</v>
      </c>
      <c r="D42" s="42" t="n">
        <f aca="false">ROUND(D8*D6*D20,0)</f>
        <v>0</v>
      </c>
      <c r="E42" s="42" t="n">
        <f aca="false">ROUND(E8*E6*E20,0)</f>
        <v>0</v>
      </c>
    </row>
    <row r="43" customFormat="false" ht="15" hidden="false" customHeight="true" outlineLevel="0" collapsed="false">
      <c r="A43" s="41" t="s">
        <v>251</v>
      </c>
      <c r="B43" s="42" t="n">
        <f aca="false">ROUND(B8*B6*B21,0)</f>
        <v>11</v>
      </c>
      <c r="C43" s="42" t="n">
        <f aca="false">ROUND(C8*C6*C21,0)</f>
        <v>4</v>
      </c>
      <c r="D43" s="42" t="n">
        <f aca="false">ROUND(D8*D6*D21,0)</f>
        <v>0</v>
      </c>
      <c r="E43" s="42" t="n">
        <f aca="false">ROUND(E8*E6*E21,0)</f>
        <v>0</v>
      </c>
    </row>
    <row r="44" customFormat="false" ht="15" hidden="false" customHeight="true" outlineLevel="0" collapsed="false">
      <c r="A44" s="41" t="s">
        <v>252</v>
      </c>
      <c r="B44" s="42" t="n">
        <f aca="false">B24</f>
        <v>1475</v>
      </c>
      <c r="C44" s="42" t="n">
        <f aca="false">C24</f>
        <v>800</v>
      </c>
      <c r="D44" s="42" t="n">
        <f aca="false">D24</f>
        <v>0</v>
      </c>
      <c r="E44" s="42" t="n">
        <f aca="false">E24</f>
        <v>0</v>
      </c>
    </row>
    <row r="45" customFormat="false" ht="15" hidden="false" customHeight="true" outlineLevel="0" collapsed="false"/>
    <row r="46" customFormat="false" ht="15" hidden="false" customHeight="true" outlineLevel="0" collapsed="false">
      <c r="A46" s="31" t="s">
        <v>253</v>
      </c>
      <c r="B46" s="31"/>
      <c r="C46" s="31"/>
      <c r="D46" s="31"/>
      <c r="E46" s="31"/>
    </row>
    <row r="47" customFormat="false" ht="15" hidden="false" customHeight="true" outlineLevel="0" collapsed="false">
      <c r="A47" s="43" t="s">
        <v>254</v>
      </c>
      <c r="B47" s="44" t="n">
        <f aca="false">B32-B35</f>
        <v>4728.9</v>
      </c>
      <c r="C47" s="44" t="n">
        <f aca="false">C32-C35</f>
        <v>1791.25</v>
      </c>
      <c r="D47" s="44" t="n">
        <f aca="false">D32-D35</f>
        <v>1074.75</v>
      </c>
      <c r="E47" s="44" t="n">
        <f aca="false">E32-E35</f>
        <v>358.25</v>
      </c>
    </row>
    <row r="48" customFormat="false" ht="15" hidden="false" customHeight="true" outlineLevel="0" collapsed="false">
      <c r="A48" s="43" t="s">
        <v>255</v>
      </c>
      <c r="B48" s="45" t="n">
        <f aca="false">IF(B32=0,0,(B32-B35)/B32)</f>
        <v>0.436890243902439</v>
      </c>
      <c r="C48" s="45" t="n">
        <f aca="false">IF(C32=0,0,(C32-C35)/C32)</f>
        <v>0.436890243902439</v>
      </c>
      <c r="D48" s="45" t="n">
        <f aca="false">IF(D32=0,0,(D32-D35)/D32)</f>
        <v>0.436890243902439</v>
      </c>
      <c r="E48" s="45" t="n">
        <f aca="false">IF(E32=0,0,(E32-E35)/E32)</f>
        <v>0.436890243902439</v>
      </c>
    </row>
    <row r="49" customFormat="false" ht="15" hidden="false" customHeight="true" outlineLevel="0" collapsed="false">
      <c r="A49" s="41" t="s">
        <v>256</v>
      </c>
      <c r="B49" s="44" t="n">
        <f aca="false">B36+B37+B38+B39+B40+B41+B42+B44</f>
        <v>2303</v>
      </c>
      <c r="C49" s="44" t="n">
        <f aca="false">C36+C37+C38+C39+C40+C41+C42+C44</f>
        <v>3133</v>
      </c>
      <c r="D49" s="44" t="n">
        <f aca="false">D36+D37+D38+D39+D40+D41+D42+D44</f>
        <v>175</v>
      </c>
      <c r="E49" s="44" t="n">
        <f aca="false">E36+E37+E38+E39+E40+E41+E42+E44</f>
        <v>74</v>
      </c>
    </row>
    <row r="50" customFormat="false" ht="15" hidden="false" customHeight="true" outlineLevel="0" collapsed="false">
      <c r="A50" s="43" t="s">
        <v>257</v>
      </c>
      <c r="B50" s="44" t="n">
        <f aca="false">B47-B49</f>
        <v>2425.9</v>
      </c>
      <c r="C50" s="44" t="n">
        <f aca="false">C47-C49</f>
        <v>-1341.75</v>
      </c>
      <c r="D50" s="44" t="n">
        <f aca="false">D47-D49</f>
        <v>899.75</v>
      </c>
      <c r="E50" s="44" t="n">
        <f aca="false">E47-E49</f>
        <v>284.25</v>
      </c>
    </row>
    <row r="51" customFormat="false" ht="15" hidden="false" customHeight="true" outlineLevel="0" collapsed="false">
      <c r="A51" s="43" t="s">
        <v>258</v>
      </c>
      <c r="B51" s="45" t="n">
        <f aca="false">IF(B32=0,0,B50/B32)</f>
        <v>0.224122320768662</v>
      </c>
      <c r="C51" s="45" t="n">
        <f aca="false">IF(C32=0,0,C50/C32)</f>
        <v>-0.327256097560976</v>
      </c>
      <c r="D51" s="45" t="n">
        <f aca="false">IF(D32=0,0,D50/D32)</f>
        <v>0.365752032520325</v>
      </c>
      <c r="E51" s="45" t="n">
        <f aca="false">IF(E32=0,0,E50/E32)</f>
        <v>0.346646341463415</v>
      </c>
    </row>
    <row r="52" customFormat="false" ht="15" hidden="false" customHeight="true" outlineLevel="0" collapsed="false">
      <c r="A52" s="43" t="s">
        <v>259</v>
      </c>
      <c r="B52" s="44" t="n">
        <f aca="false">B50-B43</f>
        <v>2414.9</v>
      </c>
      <c r="C52" s="44" t="n">
        <f aca="false">C50-C43</f>
        <v>-1345.75</v>
      </c>
      <c r="D52" s="44" t="n">
        <f aca="false">D50-D43</f>
        <v>899.75</v>
      </c>
      <c r="E52" s="44" t="n">
        <f aca="false">E50-E43</f>
        <v>284.25</v>
      </c>
    </row>
    <row r="53" customFormat="false" ht="15" hidden="false" customHeight="true" outlineLevel="0" collapsed="false">
      <c r="A53" s="43" t="s">
        <v>260</v>
      </c>
      <c r="B53" s="45" t="n">
        <f aca="false">IF(B32=0,0,B52/B32)</f>
        <v>0.223106060606061</v>
      </c>
      <c r="C53" s="45" t="n">
        <f aca="false">IF(C32=0,0,C52/C32)</f>
        <v>-0.328231707317073</v>
      </c>
      <c r="D53" s="45" t="n">
        <f aca="false">IF(D32=0,0,D52/D32)</f>
        <v>0.365752032520325</v>
      </c>
      <c r="E53" s="45" t="n">
        <f aca="false">IF(E32=0,0,E52/E32)</f>
        <v>0.346646341463415</v>
      </c>
    </row>
    <row r="54" customFormat="false" ht="15" hidden="false" customHeight="true" outlineLevel="0" collapsed="false"/>
    <row r="55" customFormat="false" ht="15" hidden="false" customHeight="true" outlineLevel="0" collapsed="false">
      <c r="A55" s="31" t="s">
        <v>261</v>
      </c>
      <c r="B55" s="31"/>
      <c r="C55" s="31"/>
      <c r="D55" s="31"/>
      <c r="E55" s="31"/>
    </row>
    <row r="56" customFormat="false" ht="15" hidden="false" customHeight="true" outlineLevel="0" collapsed="false">
      <c r="A56" s="43" t="s">
        <v>262</v>
      </c>
      <c r="B56" s="46" t="n">
        <f aca="false">B6</f>
        <v>164</v>
      </c>
      <c r="C56" s="46" t="n">
        <f aca="false">C6</f>
        <v>164</v>
      </c>
      <c r="D56" s="46" t="n">
        <f aca="false">D6</f>
        <v>164</v>
      </c>
      <c r="E56" s="46" t="n">
        <f aca="false">E6</f>
        <v>164</v>
      </c>
    </row>
    <row r="57" customFormat="false" ht="15" hidden="false" customHeight="true" outlineLevel="0" collapsed="false">
      <c r="A57" s="41" t="s">
        <v>263</v>
      </c>
      <c r="B57" s="47" t="n">
        <f aca="false">B7</f>
        <v>92.35</v>
      </c>
      <c r="C57" s="47" t="n">
        <f aca="false">C7</f>
        <v>92.35</v>
      </c>
      <c r="D57" s="47" t="n">
        <f aca="false">D7</f>
        <v>92.35</v>
      </c>
      <c r="E57" s="47" t="n">
        <f aca="false">E7</f>
        <v>92.35</v>
      </c>
    </row>
    <row r="58" customFormat="false" ht="15" hidden="false" customHeight="true" outlineLevel="0" collapsed="false">
      <c r="A58" s="41" t="s">
        <v>264</v>
      </c>
      <c r="B58" s="47" t="n">
        <f aca="false">IF(B29=0,0,B49/B29)</f>
        <v>34.8939393939394</v>
      </c>
      <c r="C58" s="47" t="n">
        <f aca="false">IF(C29=0,0,C49/C29)</f>
        <v>125.32</v>
      </c>
      <c r="D58" s="47" t="n">
        <f aca="false">IF(D29=0,0,D49/D29)</f>
        <v>11.6666666666667</v>
      </c>
      <c r="E58" s="47" t="n">
        <f aca="false">IF(E29=0,0,E49/E29)</f>
        <v>14.8</v>
      </c>
    </row>
    <row r="59" customFormat="false" ht="15" hidden="false" customHeight="true" outlineLevel="0" collapsed="false">
      <c r="A59" s="43" t="s">
        <v>265</v>
      </c>
      <c r="B59" s="46" t="n">
        <f aca="false">IF(B29=0,0,B52/B29)</f>
        <v>36.589393939394</v>
      </c>
      <c r="C59" s="46" t="n">
        <f aca="false">IF(C29=0,0,C52/C29)</f>
        <v>-53.83</v>
      </c>
      <c r="D59" s="46" t="n">
        <f aca="false">IF(D29=0,0,D52/D29)</f>
        <v>59.9833333333333</v>
      </c>
      <c r="E59" s="46" t="n">
        <f aca="false">IF(E29=0,0,E52/E29)</f>
        <v>56.85</v>
      </c>
    </row>
    <row r="60" customFormat="false" ht="15" hidden="false" customHeight="true" outlineLevel="0" collapsed="false">
      <c r="A60" s="41" t="s">
        <v>266</v>
      </c>
      <c r="B60" s="46" t="n">
        <f aca="false">B56-B57-IF(B29=0,0,(B36+B37+B38+B39+B40+B41+B42)/B29)</f>
        <v>59.1045454545455</v>
      </c>
      <c r="C60" s="46" t="n">
        <f aca="false">C56-C57-IF(C29=0,0,(C36+C37+C38+C39+C40+C41+C42)/C29)</f>
        <v>-21.67</v>
      </c>
      <c r="D60" s="46" t="n">
        <f aca="false">D56-D57-IF(D29=0,0,(D36+D37+D38+D39+D40+D41+D42)/D29)</f>
        <v>59.9833333333333</v>
      </c>
      <c r="E60" s="46" t="n">
        <f aca="false">E56-E57-IF(E29=0,0,(E36+E37+E38+E39+E40+E41+E42)/E29)</f>
        <v>56.85</v>
      </c>
    </row>
    <row r="61" customFormat="false" ht="15" hidden="false" customHeight="true" outlineLevel="0" collapsed="false">
      <c r="A61" s="43" t="s">
        <v>267</v>
      </c>
      <c r="B61" s="45" t="n">
        <f aca="false">IF(B56=0,0,B60/B56)</f>
        <v>0.360393569844789</v>
      </c>
      <c r="C61" s="45" t="n">
        <f aca="false">IF(C56=0,0,C60/C56)</f>
        <v>-0.132134146341463</v>
      </c>
      <c r="D61" s="45" t="n">
        <f aca="false">IF(D56=0,0,D60/D56)</f>
        <v>0.365752032520325</v>
      </c>
      <c r="E61" s="45" t="n">
        <f aca="false">IF(E56=0,0,E60/E56)</f>
        <v>0.346646341463415</v>
      </c>
    </row>
    <row r="62" customFormat="false" ht="15" hidden="false" customHeight="true" outlineLevel="0" collapsed="false">
      <c r="A62" s="43" t="s">
        <v>268</v>
      </c>
      <c r="B62" s="48" t="n">
        <f aca="false">IF(B60&lt;=0,"N/A",CEILING(B44/B60,1))</f>
        <v>25</v>
      </c>
      <c r="C62" s="48" t="str">
        <f aca="false">IF(C60&lt;=0,"N/A",CEILING(C44/C60,1))</f>
        <v>N/A</v>
      </c>
      <c r="D62" s="48" t="n">
        <f aca="false">IF(D60&lt;=0,"N/A",CEILING(D44/D60,1))</f>
        <v>0</v>
      </c>
      <c r="E62" s="48" t="n">
        <f aca="false">IF(E60&lt;=0,"N/A",CEILING(E44/E60,1))</f>
        <v>0</v>
      </c>
    </row>
    <row r="63" customFormat="false" ht="15" hidden="false" customHeight="true" outlineLevel="0" collapsed="false">
      <c r="A63" s="41" t="s">
        <v>269</v>
      </c>
      <c r="B63" s="42" t="n">
        <f aca="false">IF(B60&lt;=0,"N/A",B62*B56)</f>
        <v>4100</v>
      </c>
      <c r="C63" s="42" t="str">
        <f aca="false">IF(C60&lt;=0,"N/A",C62*C56)</f>
        <v>N/A</v>
      </c>
      <c r="D63" s="42" t="n">
        <f aca="false">IF(D60&lt;=0,"N/A",D62*D56)</f>
        <v>0</v>
      </c>
      <c r="E63" s="42" t="n">
        <f aca="false">IF(E60&lt;=0,"N/A",E62*E56)</f>
        <v>0</v>
      </c>
    </row>
    <row r="66" customFormat="false" ht="15" hidden="false" customHeight="true" outlineLevel="0" collapsed="false">
      <c r="A66" s="40" t="s">
        <v>270</v>
      </c>
      <c r="B66" s="40"/>
      <c r="C66" s="40"/>
      <c r="D66" s="40"/>
      <c r="E66" s="40"/>
    </row>
    <row r="67" customFormat="false" ht="15" hidden="false" customHeight="true" outlineLevel="0" collapsed="false">
      <c r="A67" s="49" t="s">
        <v>271</v>
      </c>
      <c r="B67" s="50" t="s">
        <v>217</v>
      </c>
      <c r="C67" s="51" t="s">
        <v>218</v>
      </c>
      <c r="D67" s="52" t="s">
        <v>219</v>
      </c>
      <c r="E67" s="53" t="s">
        <v>220</v>
      </c>
    </row>
    <row r="68" customFormat="false" ht="15" hidden="false" customHeight="true" outlineLevel="0" collapsed="false">
      <c r="A68" s="41" t="s">
        <v>241</v>
      </c>
      <c r="B68" s="42" t="n">
        <f aca="false">B32</f>
        <v>10824</v>
      </c>
      <c r="C68" s="42" t="n">
        <f aca="false">C32</f>
        <v>4100</v>
      </c>
      <c r="D68" s="42" t="n">
        <f aca="false">D32</f>
        <v>2460</v>
      </c>
      <c r="E68" s="42" t="n">
        <f aca="false">E32</f>
        <v>820</v>
      </c>
    </row>
    <row r="69" customFormat="false" ht="15" hidden="false" customHeight="true" outlineLevel="0" collapsed="false">
      <c r="A69" s="41" t="s">
        <v>254</v>
      </c>
      <c r="B69" s="42" t="n">
        <f aca="false">B47</f>
        <v>4728.9</v>
      </c>
      <c r="C69" s="42" t="n">
        <f aca="false">C47</f>
        <v>1791.25</v>
      </c>
      <c r="D69" s="42" t="n">
        <f aca="false">D47</f>
        <v>1074.75</v>
      </c>
      <c r="E69" s="42" t="n">
        <f aca="false">E47</f>
        <v>358.25</v>
      </c>
    </row>
    <row r="70" customFormat="false" ht="15" hidden="false" customHeight="true" outlineLevel="0" collapsed="false">
      <c r="A70" s="41" t="s">
        <v>255</v>
      </c>
      <c r="B70" s="45" t="n">
        <f aca="false">B48</f>
        <v>0.436890243902439</v>
      </c>
      <c r="C70" s="45" t="n">
        <f aca="false">C48</f>
        <v>0.436890243902439</v>
      </c>
      <c r="D70" s="45" t="n">
        <f aca="false">D48</f>
        <v>0.436890243902439</v>
      </c>
      <c r="E70" s="45" t="n">
        <f aca="false">E48</f>
        <v>0.436890243902439</v>
      </c>
    </row>
    <row r="71" customFormat="false" ht="15" hidden="false" customHeight="true" outlineLevel="0" collapsed="false">
      <c r="A71" s="41" t="s">
        <v>259</v>
      </c>
      <c r="B71" s="42" t="n">
        <f aca="false">B52</f>
        <v>2414.9</v>
      </c>
      <c r="C71" s="42" t="n">
        <f aca="false">C52</f>
        <v>-1345.75</v>
      </c>
      <c r="D71" s="42" t="n">
        <f aca="false">D52</f>
        <v>899.75</v>
      </c>
      <c r="E71" s="42" t="n">
        <f aca="false">E52</f>
        <v>284.25</v>
      </c>
    </row>
    <row r="72" customFormat="false" ht="15" hidden="false" customHeight="true" outlineLevel="0" collapsed="false">
      <c r="A72" s="41" t="s">
        <v>260</v>
      </c>
      <c r="B72" s="45" t="n">
        <f aca="false">B53</f>
        <v>0.223106060606061</v>
      </c>
      <c r="C72" s="45" t="n">
        <f aca="false">C53</f>
        <v>-0.328231707317073</v>
      </c>
      <c r="D72" s="45" t="n">
        <f aca="false">D53</f>
        <v>0.365752032520325</v>
      </c>
      <c r="E72" s="45" t="n">
        <f aca="false">E53</f>
        <v>0.346646341463415</v>
      </c>
    </row>
    <row r="73" customFormat="false" ht="15" hidden="false" customHeight="true" outlineLevel="0" collapsed="false">
      <c r="A73" s="41" t="s">
        <v>272</v>
      </c>
      <c r="B73" s="47" t="n">
        <f aca="false">B60</f>
        <v>59.1045454545455</v>
      </c>
      <c r="C73" s="47" t="n">
        <f aca="false">C60</f>
        <v>-21.67</v>
      </c>
      <c r="D73" s="47" t="n">
        <f aca="false">D60</f>
        <v>59.9833333333333</v>
      </c>
      <c r="E73" s="47" t="n">
        <f aca="false">E60</f>
        <v>56.85</v>
      </c>
    </row>
  </sheetData>
  <mergeCells count="15">
    <mergeCell ref="A1:H1"/>
    <mergeCell ref="A2:H2"/>
    <mergeCell ref="A5:E5"/>
    <mergeCell ref="A10:E10"/>
    <mergeCell ref="A11:E11"/>
    <mergeCell ref="A18:E18"/>
    <mergeCell ref="A19:E19"/>
    <mergeCell ref="A22:E22"/>
    <mergeCell ref="A23:E23"/>
    <mergeCell ref="A26:E26"/>
    <mergeCell ref="A27:E27"/>
    <mergeCell ref="A34:E34"/>
    <mergeCell ref="A46:E46"/>
    <mergeCell ref="A55:E55"/>
    <mergeCell ref="A66:E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20"/>
    <col collapsed="false" customWidth="true" hidden="false" outlineLevel="0" max="6" min="6" style="1" width="2"/>
    <col collapsed="false" customWidth="true" hidden="false" outlineLevel="0" max="7" min="7" style="1" width="28"/>
    <col collapsed="false" customWidth="true" hidden="false" outlineLevel="0" max="9" min="8" style="1" width="18"/>
  </cols>
  <sheetData>
    <row r="1" customFormat="false" ht="15.75" hidden="false" customHeight="true" outlineLevel="0" collapsed="false">
      <c r="A1" s="10" t="s">
        <v>273</v>
      </c>
      <c r="B1" s="10"/>
      <c r="C1" s="10"/>
      <c r="D1" s="10"/>
      <c r="E1" s="10"/>
      <c r="F1" s="10"/>
      <c r="G1" s="10"/>
      <c r="H1" s="10"/>
      <c r="I1" s="10"/>
    </row>
    <row r="2" customFormat="false" ht="15" hidden="false" customHeight="true" outlineLevel="0" collapsed="false">
      <c r="A2" s="26" t="s">
        <v>274</v>
      </c>
      <c r="B2" s="26"/>
      <c r="C2" s="26"/>
      <c r="D2" s="26"/>
      <c r="E2" s="26"/>
      <c r="F2" s="26"/>
      <c r="G2" s="26"/>
      <c r="H2" s="26"/>
      <c r="I2" s="26"/>
    </row>
    <row r="4" customFormat="false" ht="30" hidden="false" customHeight="true" outlineLevel="0" collapsed="false">
      <c r="A4" s="12" t="s">
        <v>275</v>
      </c>
      <c r="B4" s="54" t="s">
        <v>276</v>
      </c>
      <c r="C4" s="55" t="s">
        <v>277</v>
      </c>
      <c r="D4" s="56" t="s">
        <v>278</v>
      </c>
    </row>
    <row r="5" customFormat="false" ht="15" hidden="false" customHeight="true" outlineLevel="0" collapsed="false">
      <c r="A5" s="31" t="s">
        <v>279</v>
      </c>
      <c r="B5" s="31"/>
      <c r="C5" s="31"/>
      <c r="D5" s="31"/>
    </row>
    <row r="6" customFormat="false" ht="15" hidden="false" customHeight="true" outlineLevel="0" collapsed="false">
      <c r="A6" s="32" t="s">
        <v>280</v>
      </c>
      <c r="B6" s="39" t="n">
        <v>1123</v>
      </c>
      <c r="C6" s="39" t="n">
        <v>1400</v>
      </c>
      <c r="D6" s="39" t="n">
        <v>850</v>
      </c>
    </row>
    <row r="7" customFormat="false" ht="15" hidden="false" customHeight="true" outlineLevel="0" collapsed="false">
      <c r="A7" s="32" t="s">
        <v>225</v>
      </c>
      <c r="B7" s="35" t="n">
        <v>0.08</v>
      </c>
      <c r="C7" s="35" t="n">
        <v>0.06</v>
      </c>
      <c r="D7" s="35" t="n">
        <v>0.12</v>
      </c>
    </row>
    <row r="8" customFormat="false" ht="15" hidden="false" customHeight="true" outlineLevel="0" collapsed="false">
      <c r="A8" s="32" t="s">
        <v>281</v>
      </c>
      <c r="B8" s="33" t="n">
        <v>155.64</v>
      </c>
      <c r="C8" s="33" t="n">
        <v>170</v>
      </c>
      <c r="D8" s="33" t="n">
        <v>140</v>
      </c>
    </row>
    <row r="9" customFormat="false" ht="15" hidden="false" customHeight="true" outlineLevel="0" collapsed="false"/>
    <row r="10" customFormat="false" ht="15" hidden="false" customHeight="true" outlineLevel="0" collapsed="false">
      <c r="A10" s="31" t="s">
        <v>282</v>
      </c>
      <c r="B10" s="31"/>
      <c r="C10" s="31"/>
      <c r="D10" s="31"/>
    </row>
    <row r="11" customFormat="false" ht="15" hidden="false" customHeight="true" outlineLevel="0" collapsed="false">
      <c r="A11" s="32" t="s">
        <v>283</v>
      </c>
      <c r="B11" s="33" t="n">
        <v>91.65</v>
      </c>
      <c r="C11" s="33" t="n">
        <v>88</v>
      </c>
      <c r="D11" s="33" t="n">
        <v>95</v>
      </c>
    </row>
    <row r="12" customFormat="false" ht="15" hidden="false" customHeight="true" outlineLevel="0" collapsed="false">
      <c r="A12" s="32" t="s">
        <v>284</v>
      </c>
      <c r="B12" s="33" t="n">
        <v>9.06</v>
      </c>
      <c r="C12" s="33" t="n">
        <v>9.06</v>
      </c>
      <c r="D12" s="33" t="n">
        <v>10</v>
      </c>
    </row>
    <row r="13" customFormat="false" ht="15" hidden="false" customHeight="true" outlineLevel="0" collapsed="false">
      <c r="A13" s="32" t="s">
        <v>285</v>
      </c>
      <c r="B13" s="33" t="n">
        <v>4.46</v>
      </c>
      <c r="C13" s="33" t="n">
        <v>3.5</v>
      </c>
      <c r="D13" s="33" t="n">
        <v>6</v>
      </c>
    </row>
    <row r="14" customFormat="false" ht="15" hidden="false" customHeight="true" outlineLevel="0" collapsed="false"/>
    <row r="15" customFormat="false" ht="15" hidden="false" customHeight="true" outlineLevel="0" collapsed="false">
      <c r="A15" s="31" t="s">
        <v>234</v>
      </c>
      <c r="B15" s="31"/>
      <c r="C15" s="31"/>
      <c r="D15" s="31"/>
    </row>
    <row r="16" customFormat="false" ht="15" hidden="false" customHeight="true" outlineLevel="0" collapsed="false">
      <c r="A16" s="32" t="s">
        <v>286</v>
      </c>
      <c r="B16" s="39" t="n">
        <v>17702</v>
      </c>
      <c r="C16" s="39" t="n">
        <v>17702</v>
      </c>
      <c r="D16" s="39" t="n">
        <v>22000</v>
      </c>
    </row>
    <row r="17" customFormat="false" ht="15" hidden="false" customHeight="true" outlineLevel="0" collapsed="false"/>
    <row r="18" customFormat="false" ht="15" hidden="false" customHeight="true" outlineLevel="0" collapsed="false">
      <c r="A18" s="31" t="s">
        <v>287</v>
      </c>
      <c r="B18" s="31"/>
      <c r="C18" s="31"/>
      <c r="D18" s="31"/>
    </row>
    <row r="19" customFormat="false" ht="15" hidden="false" customHeight="true" outlineLevel="0" collapsed="false">
      <c r="A19" s="32" t="s">
        <v>178</v>
      </c>
      <c r="B19" s="38" t="n">
        <v>0.01</v>
      </c>
      <c r="C19" s="38" t="n">
        <v>0.01</v>
      </c>
      <c r="D19" s="38" t="n">
        <v>0.01</v>
      </c>
    </row>
    <row r="20" customFormat="false" ht="15" hidden="false" customHeight="true" outlineLevel="0" collapsed="false">
      <c r="A20" s="32" t="s">
        <v>288</v>
      </c>
      <c r="B20" s="35" t="n">
        <v>0.18</v>
      </c>
      <c r="C20" s="35" t="n">
        <v>0.18</v>
      </c>
      <c r="D20" s="35" t="n">
        <v>0.18</v>
      </c>
    </row>
    <row r="21" customFormat="false" ht="15" hidden="false" customHeight="true" outlineLevel="0" collapsed="false">
      <c r="A21" s="32" t="s">
        <v>181</v>
      </c>
      <c r="B21" s="38" t="n">
        <v>0.001</v>
      </c>
      <c r="C21" s="38" t="n">
        <v>0.001</v>
      </c>
      <c r="D21" s="38" t="n">
        <v>0.001</v>
      </c>
    </row>
    <row r="22" customFormat="false" ht="15" hidden="false" customHeight="true" outlineLevel="0" collapsed="false"/>
    <row r="23" customFormat="false" ht="15" hidden="false" customHeight="true" outlineLevel="0" collapsed="false">
      <c r="A23" s="31" t="s">
        <v>289</v>
      </c>
      <c r="B23" s="31"/>
      <c r="C23" s="31"/>
      <c r="D23" s="31"/>
    </row>
    <row r="24" customFormat="false" ht="15" hidden="false" customHeight="true" outlineLevel="0" collapsed="false">
      <c r="A24" s="32" t="s">
        <v>290</v>
      </c>
      <c r="B24" s="39" t="n">
        <v>360000</v>
      </c>
      <c r="C24" s="39" t="n">
        <v>360000</v>
      </c>
      <c r="D24" s="39" t="n">
        <v>420000</v>
      </c>
    </row>
    <row r="26" customFormat="false" ht="15.75" hidden="false" customHeight="true" outlineLevel="0" collapsed="false">
      <c r="A26" s="40" t="s">
        <v>291</v>
      </c>
      <c r="B26" s="40"/>
      <c r="C26" s="40"/>
      <c r="D26" s="40"/>
    </row>
    <row r="27" customFormat="false" ht="15" hidden="false" customHeight="true" outlineLevel="0" collapsed="false">
      <c r="A27" s="57" t="s">
        <v>271</v>
      </c>
      <c r="B27" s="57" t="s">
        <v>292</v>
      </c>
      <c r="C27" s="57" t="s">
        <v>293</v>
      </c>
      <c r="D27" s="57" t="s">
        <v>294</v>
      </c>
    </row>
    <row r="28" customFormat="false" ht="15" hidden="false" customHeight="true" outlineLevel="0" collapsed="false">
      <c r="A28" s="31" t="s">
        <v>295</v>
      </c>
      <c r="B28" s="31"/>
      <c r="C28" s="31"/>
      <c r="D28" s="31"/>
    </row>
    <row r="29" customFormat="false" ht="15" hidden="false" customHeight="true" outlineLevel="0" collapsed="false">
      <c r="A29" s="41" t="s">
        <v>29</v>
      </c>
      <c r="B29" s="48" t="n">
        <f aca="false">ROUND(B6*(1-B7),0)</f>
        <v>1033</v>
      </c>
      <c r="C29" s="48" t="n">
        <f aca="false">ROUND(C6*(1-C7),0)</f>
        <v>1316</v>
      </c>
      <c r="D29" s="48" t="n">
        <f aca="false">ROUND(D6*(1-D7),0)</f>
        <v>748</v>
      </c>
    </row>
    <row r="30" customFormat="false" ht="15" hidden="false" customHeight="true" outlineLevel="0" collapsed="false">
      <c r="A30" s="41" t="s">
        <v>296</v>
      </c>
      <c r="B30" s="48" t="n">
        <f aca="false">ROUND(B6*B7,0)</f>
        <v>90</v>
      </c>
      <c r="C30" s="48" t="n">
        <f aca="false">ROUND(C6*C7,0)</f>
        <v>84</v>
      </c>
      <c r="D30" s="48" t="n">
        <f aca="false">ROUND(D6*D7,0)</f>
        <v>102</v>
      </c>
    </row>
    <row r="31" customFormat="false" ht="15" hidden="false" customHeight="true" outlineLevel="0" collapsed="false"/>
    <row r="32" customFormat="false" ht="15" hidden="false" customHeight="true" outlineLevel="0" collapsed="false">
      <c r="A32" s="31" t="s">
        <v>297</v>
      </c>
      <c r="B32" s="31"/>
      <c r="C32" s="31"/>
      <c r="D32" s="31"/>
    </row>
    <row r="33" customFormat="false" ht="15" hidden="false" customHeight="true" outlineLevel="0" collapsed="false">
      <c r="A33" s="41" t="s">
        <v>239</v>
      </c>
      <c r="B33" s="42" t="n">
        <f aca="false">B6*B8</f>
        <v>174783.72</v>
      </c>
      <c r="C33" s="42" t="n">
        <f aca="false">C6*C8</f>
        <v>238000</v>
      </c>
      <c r="D33" s="42" t="n">
        <f aca="false">D6*D8</f>
        <v>119000</v>
      </c>
    </row>
    <row r="34" customFormat="false" ht="15" hidden="false" customHeight="true" outlineLevel="0" collapsed="false">
      <c r="A34" s="41" t="s">
        <v>241</v>
      </c>
      <c r="B34" s="42" t="n">
        <f aca="false">ROUND(B6*(1-B7)*B8,0)</f>
        <v>160801</v>
      </c>
      <c r="C34" s="42" t="n">
        <f aca="false">ROUND(C6*(1-C7)*C8,0)</f>
        <v>223720</v>
      </c>
      <c r="D34" s="42" t="n">
        <f aca="false">ROUND(D6*(1-D7)*D8,0)</f>
        <v>104720</v>
      </c>
    </row>
    <row r="35" customFormat="false" ht="15" hidden="false" customHeight="true" outlineLevel="0" collapsed="false"/>
    <row r="36" customFormat="false" ht="15" hidden="false" customHeight="true" outlineLevel="0" collapsed="false">
      <c r="A36" s="31" t="s">
        <v>298</v>
      </c>
      <c r="B36" s="31"/>
      <c r="C36" s="31"/>
      <c r="D36" s="31"/>
    </row>
    <row r="37" customFormat="false" ht="15" hidden="false" customHeight="true" outlineLevel="0" collapsed="false">
      <c r="A37" s="41" t="s">
        <v>299</v>
      </c>
      <c r="B37" s="42" t="n">
        <f aca="false">ROUND(B6*(1-B7)*B11,0)</f>
        <v>94689</v>
      </c>
      <c r="C37" s="42" t="n">
        <f aca="false">ROUND(C6*(1-C7)*C11,0)</f>
        <v>115808</v>
      </c>
      <c r="D37" s="42" t="n">
        <f aca="false">ROUND(D6*(1-D7)*D11,0)</f>
        <v>71060</v>
      </c>
    </row>
    <row r="38" customFormat="false" ht="15" hidden="false" customHeight="true" outlineLevel="0" collapsed="false">
      <c r="A38" s="41" t="s">
        <v>254</v>
      </c>
      <c r="B38" s="44" t="n">
        <f aca="false">ROUND(B6*(1-B7)*B8,0)-ROUND(B6*(1-B7)*B11,0)</f>
        <v>66112</v>
      </c>
      <c r="C38" s="44" t="n">
        <f aca="false">ROUND(C6*(1-C7)*C8,0)-ROUND(C6*(1-C7)*C11,0)</f>
        <v>107912</v>
      </c>
      <c r="D38" s="44" t="n">
        <f aca="false">ROUND(D6*(1-D7)*D8,0)-ROUND(D6*(1-D7)*D11,0)</f>
        <v>33660</v>
      </c>
    </row>
    <row r="39" customFormat="false" ht="15" hidden="false" customHeight="true" outlineLevel="0" collapsed="false">
      <c r="A39" s="41" t="s">
        <v>255</v>
      </c>
      <c r="B39" s="58" t="n">
        <f aca="false">(ROUND(B6*(1-B7)*B8,0)-ROUND(B6*(1-B7)*B11,0))/ROUND(B6*(1-B7)*B8,0)</f>
        <v>0.411141721755462</v>
      </c>
      <c r="C39" s="58" t="n">
        <f aca="false">(ROUND(C6*(1-C7)*C8,0)-ROUND(C6*(1-C7)*C11,0))/ROUND(C6*(1-C7)*C8,0)</f>
        <v>0.482352941176471</v>
      </c>
      <c r="D39" s="58" t="n">
        <f aca="false">(ROUND(D6*(1-D7)*D8,0)-ROUND(D6*(1-D7)*D11,0))/ROUND(D6*(1-D7)*D8,0)</f>
        <v>0.321428571428571</v>
      </c>
    </row>
    <row r="40" customFormat="false" ht="15" hidden="false" customHeight="true" outlineLevel="0" collapsed="false"/>
    <row r="41" customFormat="false" ht="15" hidden="false" customHeight="true" outlineLevel="0" collapsed="false">
      <c r="A41" s="31" t="s">
        <v>300</v>
      </c>
      <c r="B41" s="31"/>
      <c r="C41" s="31"/>
      <c r="D41" s="31"/>
    </row>
    <row r="42" customFormat="false" ht="15" hidden="false" customHeight="true" outlineLevel="0" collapsed="false">
      <c r="A42" s="41" t="s">
        <v>301</v>
      </c>
      <c r="B42" s="42" t="n">
        <f aca="false">ROUND(B6*(1-B7)*B12,0)</f>
        <v>9360</v>
      </c>
      <c r="C42" s="42" t="n">
        <f aca="false">ROUND(C6*(1-C7)*C12,0)</f>
        <v>11923</v>
      </c>
      <c r="D42" s="42" t="n">
        <f aca="false">ROUND(D6*(1-D7)*D12,0)</f>
        <v>7480</v>
      </c>
    </row>
    <row r="43" customFormat="false" ht="15" hidden="false" customHeight="true" outlineLevel="0" collapsed="false">
      <c r="A43" s="41" t="s">
        <v>302</v>
      </c>
      <c r="B43" s="42" t="n">
        <f aca="false">ROUND(B6*(1-B7)*B13,0)</f>
        <v>4608</v>
      </c>
      <c r="C43" s="42" t="n">
        <f aca="false">ROUND(C6*(1-C7)*C13,0)</f>
        <v>4606</v>
      </c>
      <c r="D43" s="42" t="n">
        <f aca="false">ROUND(D6*(1-D7)*D13,0)</f>
        <v>4488</v>
      </c>
    </row>
    <row r="44" customFormat="false" ht="15" hidden="false" customHeight="true" outlineLevel="0" collapsed="false">
      <c r="A44" s="41" t="s">
        <v>252</v>
      </c>
      <c r="B44" s="42" t="n">
        <f aca="false">B16</f>
        <v>17702</v>
      </c>
      <c r="C44" s="42" t="n">
        <f aca="false">C16</f>
        <v>17702</v>
      </c>
      <c r="D44" s="42" t="n">
        <f aca="false">D16</f>
        <v>22000</v>
      </c>
    </row>
    <row r="45" customFormat="false" ht="15" hidden="false" customHeight="true" outlineLevel="0" collapsed="false">
      <c r="A45" s="41" t="s">
        <v>303</v>
      </c>
      <c r="B45" s="42" t="n">
        <f aca="false">ROUND(B6*(1-B7)*(B8*B19+B12*B20),0)</f>
        <v>3293</v>
      </c>
      <c r="C45" s="42" t="n">
        <f aca="false">ROUND(C6*(1-C7)*(C8*C19+C12*C20),0)</f>
        <v>4383</v>
      </c>
      <c r="D45" s="42" t="n">
        <f aca="false">ROUND(D6*(1-D7)*(D8*D19+D12*D20),0)</f>
        <v>2394</v>
      </c>
    </row>
    <row r="46" customFormat="false" ht="15" hidden="false" customHeight="true" outlineLevel="0" collapsed="false"/>
    <row r="47" customFormat="false" ht="15" hidden="false" customHeight="true" outlineLevel="0" collapsed="false">
      <c r="A47" s="31" t="s">
        <v>304</v>
      </c>
      <c r="B47" s="31"/>
      <c r="C47" s="31"/>
      <c r="D47" s="31"/>
    </row>
    <row r="48" customFormat="false" ht="15" hidden="false" customHeight="true" outlineLevel="0" collapsed="false">
      <c r="A48" s="41" t="s">
        <v>257</v>
      </c>
      <c r="B48" s="44" t="n">
        <f aca="false">ROUND(B6*(1-B7)*B8,0)-ROUND(B6*(1-B7)*B11,0)-ROUND(B6*(1-B7)*B12,0)-ROUND(B6*(1-B7)*B13,0)-B16-ROUND(B6*(1-B7)*(B8*B19+B12*B20),0)</f>
        <v>31149</v>
      </c>
      <c r="C48" s="44" t="n">
        <f aca="false">ROUND(C6*(1-C7)*C8,0)-ROUND(C6*(1-C7)*C11,0)-ROUND(C6*(1-C7)*C12,0)-ROUND(C6*(1-C7)*C13,0)-C16-ROUND(C6*(1-C7)*(C8*C19+C12*C20),0)</f>
        <v>69298</v>
      </c>
      <c r="D48" s="44" t="n">
        <f aca="false">ROUND(D6*(1-D7)*D8,0)-ROUND(D6*(1-D7)*D11,0)-ROUND(D6*(1-D7)*D12,0)-ROUND(D6*(1-D7)*D13,0)-D16-ROUND(D6*(1-D7)*(D8*D19+D12*D20),0)</f>
        <v>-2702</v>
      </c>
    </row>
    <row r="49" customFormat="false" ht="15" hidden="false" customHeight="true" outlineLevel="0" collapsed="false">
      <c r="A49" s="41" t="s">
        <v>258</v>
      </c>
      <c r="B49" s="45" t="n">
        <f aca="false">IF(B34=0,0,B48/B34)</f>
        <v>0.193711481893769</v>
      </c>
      <c r="C49" s="45" t="n">
        <f aca="false">IF(C34=0,0,C48/C34)</f>
        <v>0.309753263007331</v>
      </c>
      <c r="D49" s="45" t="n">
        <f aca="false">IF(D34=0,0,D48/D34)</f>
        <v>-0.0258021390374332</v>
      </c>
    </row>
    <row r="50" customFormat="false" ht="15" hidden="false" customHeight="true" outlineLevel="0" collapsed="false">
      <c r="A50" s="41" t="s">
        <v>251</v>
      </c>
      <c r="B50" s="42" t="n">
        <f aca="false">ROUND(B6*(1-B7)*B8*B21,0)</f>
        <v>161</v>
      </c>
      <c r="C50" s="42" t="n">
        <f aca="false">ROUND(C6*(1-C7)*C8*C21,0)</f>
        <v>224</v>
      </c>
      <c r="D50" s="42" t="n">
        <f aca="false">ROUND(D6*(1-D7)*D8*D21,0)</f>
        <v>105</v>
      </c>
    </row>
    <row r="51" customFormat="false" ht="15" hidden="false" customHeight="true" outlineLevel="0" collapsed="false">
      <c r="A51" s="41" t="s">
        <v>305</v>
      </c>
      <c r="B51" s="44" t="n">
        <f aca="false">B48-B50</f>
        <v>30988</v>
      </c>
      <c r="C51" s="44" t="n">
        <f aca="false">C48-C50</f>
        <v>69074</v>
      </c>
      <c r="D51" s="44" t="n">
        <f aca="false">D48-D50</f>
        <v>-2807</v>
      </c>
    </row>
    <row r="52" customFormat="false" ht="15" hidden="false" customHeight="true" outlineLevel="0" collapsed="false">
      <c r="A52" s="41" t="s">
        <v>306</v>
      </c>
      <c r="B52" s="45" t="n">
        <f aca="false">IF(B34=0,0,B51/B34)</f>
        <v>0.192710244339277</v>
      </c>
      <c r="C52" s="45" t="n">
        <f aca="false">IF(C34=0,0,C51/C34)</f>
        <v>0.308752011442875</v>
      </c>
      <c r="D52" s="45" t="n">
        <f aca="false">IF(D34=0,0,D51/D34)</f>
        <v>-0.0268048128342246</v>
      </c>
    </row>
    <row r="53" customFormat="false" ht="15" hidden="false" customHeight="true" outlineLevel="0" collapsed="false">
      <c r="A53" s="41" t="s">
        <v>307</v>
      </c>
      <c r="B53" s="42" t="n">
        <f aca="false">B24</f>
        <v>360000</v>
      </c>
      <c r="C53" s="42" t="n">
        <f aca="false">C24</f>
        <v>360000</v>
      </c>
      <c r="D53" s="42" t="n">
        <f aca="false">D24</f>
        <v>420000</v>
      </c>
    </row>
    <row r="54" customFormat="false" ht="15" hidden="false" customHeight="true" outlineLevel="0" collapsed="false">
      <c r="A54" s="41" t="s">
        <v>308</v>
      </c>
      <c r="B54" s="44" t="n">
        <f aca="false">B51-B53</f>
        <v>-329012</v>
      </c>
      <c r="C54" s="44" t="n">
        <f aca="false">C51-C53</f>
        <v>-290926</v>
      </c>
      <c r="D54" s="44" t="n">
        <f aca="false">D51-D53</f>
        <v>-422807</v>
      </c>
    </row>
    <row r="55" customFormat="false" ht="15" hidden="false" customHeight="true" outlineLevel="0" collapsed="false">
      <c r="A55" s="41" t="s">
        <v>309</v>
      </c>
      <c r="B55" s="45" t="n">
        <f aca="false">IF(B34=0,0,B54/B34)</f>
        <v>-2.04608180297386</v>
      </c>
      <c r="C55" s="45" t="n">
        <f aca="false">IF(C34=0,0,C54/C34)</f>
        <v>-1.300402288575</v>
      </c>
      <c r="D55" s="45" t="n">
        <f aca="false">IF(D34=0,0,D54/D34)</f>
        <v>-4.0375</v>
      </c>
    </row>
    <row r="56" customFormat="false" ht="15" hidden="false" customHeight="true" outlineLevel="0" collapsed="false"/>
    <row r="57" customFormat="false" ht="15" hidden="false" customHeight="true" outlineLevel="0" collapsed="false">
      <c r="A57" s="31" t="s">
        <v>310</v>
      </c>
      <c r="B57" s="31"/>
      <c r="C57" s="31"/>
      <c r="D57" s="31"/>
    </row>
    <row r="58" customFormat="false" ht="15" hidden="false" customHeight="true" outlineLevel="0" collapsed="false">
      <c r="A58" s="41" t="s">
        <v>266</v>
      </c>
      <c r="B58" s="42" t="n">
        <f aca="false">B8-B11-B12-B13-B8*B19-B12*B20</f>
        <v>47.2828</v>
      </c>
      <c r="C58" s="42" t="n">
        <f aca="false">C8-C11-C12-C13-C8*C19-C12*C20</f>
        <v>66.1092</v>
      </c>
      <c r="D58" s="42" t="n">
        <f aca="false">D8-D11-D12-D13-D8*D19-D12*D20</f>
        <v>25.8</v>
      </c>
    </row>
    <row r="59" customFormat="false" ht="15" hidden="false" customHeight="true" outlineLevel="0" collapsed="false">
      <c r="A59" s="41" t="s">
        <v>267</v>
      </c>
      <c r="B59" s="58" t="n">
        <f aca="false">(B8-B11-B12-B13-B8*B19-B12*B20)/B8</f>
        <v>0.303795939347211</v>
      </c>
      <c r="C59" s="58" t="n">
        <f aca="false">(C8-C11-C12-C13-C8*C19-C12*C20)/C8</f>
        <v>0.388877647058824</v>
      </c>
      <c r="D59" s="58" t="n">
        <f aca="false">(D8-D11-D12-D13-D8*D19-D12*D20)/D8</f>
        <v>0.184285714285714</v>
      </c>
    </row>
    <row r="60" customFormat="false" ht="15" hidden="false" customHeight="true" outlineLevel="0" collapsed="false">
      <c r="A60" s="41" t="s">
        <v>311</v>
      </c>
      <c r="B60" s="59" t="n">
        <f aca="false">IF((B8-B11-B12-B13-B8*B19-B12*B20)&lt;=0,"N/A",ROUND(B16/(B8-B11-B12-B13-B8*B19-B12*B20),0))</f>
        <v>374</v>
      </c>
      <c r="C60" s="59" t="n">
        <f aca="false">IF((C8-C11-C12-C13-C8*C19-C12*C20)&lt;=0,"N/A",ROUND(C16/(C8-C11-C12-C13-C8*C19-C12*C20),0))</f>
        <v>268</v>
      </c>
      <c r="D60" s="59" t="n">
        <f aca="false">IF((D8-D11-D12-D13-D8*D19-D12*D20)&lt;=0,"N/A",ROUND(D16/(D8-D11-D12-D13-D8*D19-D12*D20),0))</f>
        <v>853</v>
      </c>
    </row>
    <row r="61" customFormat="false" ht="15" hidden="false" customHeight="true" outlineLevel="0" collapsed="false">
      <c r="A61" s="41" t="s">
        <v>312</v>
      </c>
      <c r="B61" s="48" t="n">
        <f aca="false">IF((B8-B11-B12-B13-B8*B19-B12*B20)&lt;=0,"N/A",CEILING((B16+B24)/(B8-B11-B12-B13-B8*B19-B12*B20),1))</f>
        <v>7989</v>
      </c>
      <c r="C61" s="48" t="n">
        <f aca="false">IF((C8-C11-C12-C13-C8*C19-C12*C20)&lt;=0,"N/A",CEILING((C16+C24)/(C8-C11-C12-C13-C8*C19-C12*C20),1))</f>
        <v>5714</v>
      </c>
      <c r="D61" s="48" t="n">
        <f aca="false">IF((D8-D11-D12-D13-D8*D19-D12*D20)&lt;=0,"N/A",CEILING((D16+D24)/(D8-D11-D12-D13-D8*D19-D12*D20),1))</f>
        <v>17132</v>
      </c>
    </row>
    <row r="64" customFormat="false" ht="15" hidden="false" customHeight="true" outlineLevel="0" collapsed="false">
      <c r="A64" s="40" t="s">
        <v>313</v>
      </c>
      <c r="B64" s="40"/>
      <c r="C64" s="40"/>
      <c r="D64" s="40"/>
      <c r="E64" s="40"/>
      <c r="F64" s="40"/>
      <c r="G64" s="40"/>
      <c r="H64" s="40"/>
      <c r="I64" s="40"/>
    </row>
    <row r="65" customFormat="false" ht="19.5" hidden="false" customHeight="true" outlineLevel="0" collapsed="false">
      <c r="A65" s="60" t="s">
        <v>314</v>
      </c>
      <c r="B65" s="57" t="s">
        <v>315</v>
      </c>
      <c r="C65" s="57" t="s">
        <v>316</v>
      </c>
      <c r="D65" s="57" t="s">
        <v>317</v>
      </c>
      <c r="E65" s="57" t="s">
        <v>318</v>
      </c>
      <c r="F65" s="57" t="s">
        <v>319</v>
      </c>
      <c r="G65" s="57" t="s">
        <v>320</v>
      </c>
      <c r="H65" s="57" t="s">
        <v>321</v>
      </c>
      <c r="I65" s="57" t="s">
        <v>322</v>
      </c>
    </row>
    <row r="66" customFormat="false" ht="15" hidden="false" customHeight="true" outlineLevel="0" collapsed="false">
      <c r="A66" s="61" t="n">
        <v>700</v>
      </c>
      <c r="B66" s="62" t="n">
        <v>-3683</v>
      </c>
      <c r="C66" s="63" t="n">
        <v>2687</v>
      </c>
      <c r="D66" s="63" t="n">
        <v>9056</v>
      </c>
      <c r="E66" s="64" t="n">
        <v>12240</v>
      </c>
      <c r="F66" s="63" t="n">
        <v>15425</v>
      </c>
      <c r="G66" s="63" t="n">
        <v>21794</v>
      </c>
      <c r="H66" s="63" t="n">
        <v>28163</v>
      </c>
      <c r="I66" s="63" t="n">
        <v>40901</v>
      </c>
    </row>
    <row r="67" customFormat="false" ht="15" hidden="false" customHeight="true" outlineLevel="0" collapsed="false">
      <c r="A67" s="61" t="n">
        <v>850</v>
      </c>
      <c r="B67" s="62" t="n">
        <v>-678</v>
      </c>
      <c r="C67" s="63" t="n">
        <v>7055</v>
      </c>
      <c r="D67" s="63" t="n">
        <v>14789</v>
      </c>
      <c r="E67" s="64" t="n">
        <v>18656</v>
      </c>
      <c r="F67" s="63" t="n">
        <v>22523</v>
      </c>
      <c r="G67" s="63" t="n">
        <v>30257</v>
      </c>
      <c r="H67" s="63" t="n">
        <v>37991</v>
      </c>
      <c r="I67" s="63" t="n">
        <v>53459</v>
      </c>
    </row>
    <row r="68" customFormat="false" ht="15" hidden="false" customHeight="true" outlineLevel="0" collapsed="false">
      <c r="A68" s="61" t="n">
        <v>1000</v>
      </c>
      <c r="B68" s="63" t="n">
        <v>2326</v>
      </c>
      <c r="C68" s="63" t="n">
        <v>11424</v>
      </c>
      <c r="D68" s="63" t="n">
        <v>20523</v>
      </c>
      <c r="E68" s="64" t="n">
        <v>25073</v>
      </c>
      <c r="F68" s="63" t="n">
        <v>29622</v>
      </c>
      <c r="G68" s="63" t="n">
        <v>38721</v>
      </c>
      <c r="H68" s="63" t="n">
        <v>47820</v>
      </c>
      <c r="I68" s="63" t="n">
        <v>66017</v>
      </c>
    </row>
    <row r="69" customFormat="false" ht="15" hidden="false" customHeight="true" outlineLevel="0" collapsed="false">
      <c r="A69" s="61" t="n">
        <v>1123</v>
      </c>
      <c r="B69" s="64" t="n">
        <v>4789</v>
      </c>
      <c r="C69" s="64" t="n">
        <v>15007</v>
      </c>
      <c r="D69" s="64" t="n">
        <v>25225</v>
      </c>
      <c r="E69" s="64" t="n">
        <v>30334</v>
      </c>
      <c r="F69" s="64" t="n">
        <v>35443</v>
      </c>
      <c r="G69" s="64" t="n">
        <v>45661</v>
      </c>
      <c r="H69" s="64" t="n">
        <v>55879</v>
      </c>
      <c r="I69" s="64" t="n">
        <v>76315</v>
      </c>
    </row>
    <row r="70" customFormat="false" ht="15" hidden="false" customHeight="true" outlineLevel="0" collapsed="false">
      <c r="A70" s="61" t="n">
        <v>1300</v>
      </c>
      <c r="B70" s="63" t="n">
        <v>8334</v>
      </c>
      <c r="C70" s="63" t="n">
        <v>20162</v>
      </c>
      <c r="D70" s="63" t="n">
        <v>31991</v>
      </c>
      <c r="E70" s="64" t="n">
        <v>37905</v>
      </c>
      <c r="F70" s="63" t="n">
        <v>43819</v>
      </c>
      <c r="G70" s="63" t="n">
        <v>55648</v>
      </c>
      <c r="H70" s="63" t="n">
        <v>67476</v>
      </c>
      <c r="I70" s="63" t="n">
        <v>91133</v>
      </c>
    </row>
    <row r="71" customFormat="false" ht="15" hidden="false" customHeight="true" outlineLevel="0" collapsed="false">
      <c r="A71" s="61" t="n">
        <v>1500</v>
      </c>
      <c r="B71" s="63" t="n">
        <v>12339</v>
      </c>
      <c r="C71" s="63" t="n">
        <v>25988</v>
      </c>
      <c r="D71" s="63" t="n">
        <v>39636</v>
      </c>
      <c r="E71" s="64" t="n">
        <v>46460</v>
      </c>
      <c r="F71" s="63" t="n">
        <v>53284</v>
      </c>
      <c r="G71" s="63" t="n">
        <v>66932</v>
      </c>
      <c r="H71" s="63" t="n">
        <v>80580</v>
      </c>
      <c r="I71" s="63" t="n">
        <v>107877</v>
      </c>
    </row>
    <row r="72" customFormat="false" ht="15" hidden="false" customHeight="true" outlineLevel="0" collapsed="false">
      <c r="A72" s="61" t="n">
        <v>1800</v>
      </c>
      <c r="B72" s="63" t="n">
        <v>18348</v>
      </c>
      <c r="C72" s="63" t="n">
        <v>34726</v>
      </c>
      <c r="D72" s="63" t="n">
        <v>51103</v>
      </c>
      <c r="E72" s="64" t="n">
        <v>59292</v>
      </c>
      <c r="F72" s="63" t="n">
        <v>67481</v>
      </c>
      <c r="G72" s="63" t="n">
        <v>83859</v>
      </c>
      <c r="H72" s="63" t="n">
        <v>100237</v>
      </c>
      <c r="I72" s="63" t="n">
        <v>132993</v>
      </c>
    </row>
  </sheetData>
  <mergeCells count="15">
    <mergeCell ref="A1:I1"/>
    <mergeCell ref="A2:I2"/>
    <mergeCell ref="A5:D5"/>
    <mergeCell ref="A10:D10"/>
    <mergeCell ref="A15:D15"/>
    <mergeCell ref="A18:D18"/>
    <mergeCell ref="A23:D23"/>
    <mergeCell ref="A26:D26"/>
    <mergeCell ref="A28:D28"/>
    <mergeCell ref="A32:D32"/>
    <mergeCell ref="A36:D36"/>
    <mergeCell ref="A41:D41"/>
    <mergeCell ref="A47:D47"/>
    <mergeCell ref="A57:D57"/>
    <mergeCell ref="A64:I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2"/>
    <col collapsed="false" customWidth="true" hidden="false" outlineLevel="0" max="20" min="3" style="1" width="10"/>
    <col collapsed="false" customWidth="true" hidden="false" outlineLevel="0" max="21" min="21" style="1" width="13"/>
  </cols>
  <sheetData>
    <row r="1" customFormat="false" ht="15.75" hidden="false" customHeight="true" outlineLevel="0" collapsed="false">
      <c r="A1" s="10" t="s">
        <v>323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customFormat="false" ht="15" hidden="false" customHeight="true" outlineLevel="0" collapsed="false">
      <c r="A2" s="26" t="s">
        <v>324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</row>
    <row r="4" customFormat="false" ht="30" hidden="false" customHeight="true" outlineLevel="0" collapsed="false">
      <c r="A4" s="65" t="s">
        <v>325</v>
      </c>
      <c r="B4" s="65" t="s">
        <v>271</v>
      </c>
      <c r="C4" s="66" t="s">
        <v>326</v>
      </c>
      <c r="D4" s="66" t="s">
        <v>327</v>
      </c>
      <c r="E4" s="66" t="s">
        <v>328</v>
      </c>
      <c r="F4" s="66" t="s">
        <v>329</v>
      </c>
      <c r="G4" s="66" t="s">
        <v>330</v>
      </c>
      <c r="H4" s="66" t="s">
        <v>331</v>
      </c>
      <c r="I4" s="66" t="s">
        <v>332</v>
      </c>
      <c r="J4" s="66" t="s">
        <v>333</v>
      </c>
      <c r="K4" s="66" t="s">
        <v>334</v>
      </c>
      <c r="L4" s="66" t="s">
        <v>335</v>
      </c>
      <c r="M4" s="66" t="s">
        <v>336</v>
      </c>
      <c r="N4" s="66" t="s">
        <v>337</v>
      </c>
      <c r="O4" s="66" t="s">
        <v>338</v>
      </c>
      <c r="P4" s="66" t="s">
        <v>339</v>
      </c>
      <c r="Q4" s="66" t="s">
        <v>340</v>
      </c>
      <c r="R4" s="66" t="s">
        <v>341</v>
      </c>
      <c r="S4" s="66" t="s">
        <v>342</v>
      </c>
      <c r="T4" s="66" t="s">
        <v>343</v>
      </c>
      <c r="U4" s="67" t="s">
        <v>344</v>
      </c>
    </row>
    <row r="6" customFormat="false" ht="15.75" hidden="false" customHeight="true" outlineLevel="0" collapsed="false">
      <c r="A6" s="68" t="s">
        <v>345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</row>
    <row r="7" customFormat="false" ht="15" hidden="false" customHeight="true" outlineLevel="0" collapsed="false">
      <c r="A7" s="69" t="s">
        <v>346</v>
      </c>
      <c r="B7" s="6" t="s">
        <v>347</v>
      </c>
      <c r="C7" s="34" t="n">
        <v>868</v>
      </c>
      <c r="D7" s="34" t="n">
        <v>61</v>
      </c>
      <c r="E7" s="34" t="n">
        <v>1</v>
      </c>
      <c r="F7" s="34" t="n">
        <v>1</v>
      </c>
      <c r="G7" s="34" t="n">
        <v>1</v>
      </c>
      <c r="H7" s="34" t="n">
        <v>1</v>
      </c>
      <c r="I7" s="34" t="n">
        <v>1</v>
      </c>
      <c r="J7" s="34" t="n">
        <v>1</v>
      </c>
      <c r="K7" s="34" t="n">
        <v>53</v>
      </c>
      <c r="L7" s="34" t="n">
        <v>16</v>
      </c>
      <c r="M7" s="34" t="n">
        <v>4</v>
      </c>
      <c r="N7" s="34" t="n">
        <v>20</v>
      </c>
      <c r="O7" s="34" t="n">
        <v>7</v>
      </c>
      <c r="P7" s="34" t="n">
        <v>1</v>
      </c>
      <c r="Q7" s="34" t="n">
        <v>1</v>
      </c>
      <c r="R7" s="34" t="n">
        <v>8</v>
      </c>
      <c r="S7" s="34" t="n">
        <v>77</v>
      </c>
      <c r="T7" s="34" t="n">
        <v>1</v>
      </c>
      <c r="U7" s="70" t="n">
        <v>1123</v>
      </c>
    </row>
    <row r="8" customFormat="false" ht="15" hidden="false" customHeight="true" outlineLevel="0" collapsed="false">
      <c r="A8" s="69"/>
      <c r="B8" s="6" t="s">
        <v>348</v>
      </c>
      <c r="C8" s="36" t="n">
        <v>0.08</v>
      </c>
      <c r="D8" s="36" t="n">
        <v>0.08</v>
      </c>
      <c r="E8" s="36" t="n">
        <v>0.08</v>
      </c>
      <c r="F8" s="36" t="n">
        <v>0.08</v>
      </c>
      <c r="G8" s="36" t="n">
        <v>0.08</v>
      </c>
      <c r="H8" s="36" t="n">
        <v>0.08</v>
      </c>
      <c r="I8" s="36" t="n">
        <v>0.08</v>
      </c>
      <c r="J8" s="36" t="n">
        <v>0.08</v>
      </c>
      <c r="K8" s="36" t="n">
        <v>0.08</v>
      </c>
      <c r="L8" s="36" t="n">
        <v>0.08</v>
      </c>
      <c r="M8" s="36" t="n">
        <v>0.08</v>
      </c>
      <c r="N8" s="36" t="n">
        <v>0.08</v>
      </c>
      <c r="O8" s="36" t="n">
        <v>0.08</v>
      </c>
      <c r="P8" s="36" t="n">
        <v>0.08</v>
      </c>
      <c r="Q8" s="36" t="n">
        <v>0.08</v>
      </c>
      <c r="R8" s="36" t="n">
        <v>0.08</v>
      </c>
      <c r="S8" s="36" t="n">
        <v>0.08</v>
      </c>
      <c r="T8" s="36" t="n">
        <v>0.08</v>
      </c>
      <c r="U8" s="71" t="n">
        <v>0.0792520035618878</v>
      </c>
    </row>
    <row r="9" customFormat="false" ht="15" hidden="false" customHeight="true" outlineLevel="0" collapsed="false">
      <c r="A9" s="69"/>
      <c r="B9" s="6" t="s">
        <v>349</v>
      </c>
      <c r="C9" s="48" t="n">
        <v>69</v>
      </c>
      <c r="D9" s="48" t="n">
        <v>5</v>
      </c>
      <c r="E9" s="48" t="n">
        <v>0</v>
      </c>
      <c r="F9" s="48" t="n">
        <v>0</v>
      </c>
      <c r="G9" s="48" t="n">
        <v>0</v>
      </c>
      <c r="H9" s="48" t="n">
        <v>0</v>
      </c>
      <c r="I9" s="48" t="n">
        <v>0</v>
      </c>
      <c r="J9" s="48" t="n">
        <v>0</v>
      </c>
      <c r="K9" s="48" t="n">
        <v>4</v>
      </c>
      <c r="L9" s="48" t="n">
        <v>1</v>
      </c>
      <c r="M9" s="48" t="n">
        <v>0</v>
      </c>
      <c r="N9" s="48" t="n">
        <v>2</v>
      </c>
      <c r="O9" s="48" t="n">
        <v>1</v>
      </c>
      <c r="P9" s="48" t="n">
        <v>0</v>
      </c>
      <c r="Q9" s="48" t="n">
        <v>0</v>
      </c>
      <c r="R9" s="48" t="n">
        <v>1</v>
      </c>
      <c r="S9" s="48" t="n">
        <v>6</v>
      </c>
      <c r="T9" s="48" t="n">
        <v>0</v>
      </c>
      <c r="U9" s="70" t="n">
        <v>89</v>
      </c>
    </row>
    <row r="10" customFormat="false" ht="15" hidden="false" customHeight="true" outlineLevel="0" collapsed="false">
      <c r="A10" s="69"/>
      <c r="B10" s="72" t="s">
        <v>350</v>
      </c>
      <c r="C10" s="73" t="n">
        <v>799</v>
      </c>
      <c r="D10" s="73" t="n">
        <v>56</v>
      </c>
      <c r="E10" s="73" t="n">
        <v>1</v>
      </c>
      <c r="F10" s="73" t="n">
        <v>1</v>
      </c>
      <c r="G10" s="73" t="n">
        <v>1</v>
      </c>
      <c r="H10" s="73" t="n">
        <v>1</v>
      </c>
      <c r="I10" s="73" t="n">
        <v>1</v>
      </c>
      <c r="J10" s="73" t="n">
        <v>1</v>
      </c>
      <c r="K10" s="73" t="n">
        <v>49</v>
      </c>
      <c r="L10" s="73" t="n">
        <v>15</v>
      </c>
      <c r="M10" s="73" t="n">
        <v>4</v>
      </c>
      <c r="N10" s="73" t="n">
        <v>18</v>
      </c>
      <c r="O10" s="73" t="n">
        <v>6</v>
      </c>
      <c r="P10" s="73" t="n">
        <v>1</v>
      </c>
      <c r="Q10" s="73" t="n">
        <v>1</v>
      </c>
      <c r="R10" s="73" t="n">
        <v>7</v>
      </c>
      <c r="S10" s="73" t="n">
        <v>71</v>
      </c>
      <c r="T10" s="73" t="n">
        <v>1</v>
      </c>
      <c r="U10" s="73" t="n">
        <v>1034</v>
      </c>
    </row>
    <row r="11" customFormat="false" ht="15.75" hidden="false" customHeight="true" outlineLevel="0" collapsed="false">
      <c r="A11" s="68" t="s">
        <v>351</v>
      </c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</row>
    <row r="12" customFormat="false" ht="15" hidden="false" customHeight="true" outlineLevel="0" collapsed="false">
      <c r="A12" s="69" t="s">
        <v>352</v>
      </c>
      <c r="B12" s="6" t="s">
        <v>353</v>
      </c>
      <c r="C12" s="33" t="n">
        <v>164</v>
      </c>
      <c r="D12" s="33" t="n">
        <v>250</v>
      </c>
      <c r="E12" s="33" t="n">
        <v>87</v>
      </c>
      <c r="F12" s="33" t="n">
        <v>78</v>
      </c>
      <c r="G12" s="33" t="n">
        <v>85</v>
      </c>
      <c r="H12" s="33" t="n">
        <v>71</v>
      </c>
      <c r="I12" s="33" t="n">
        <v>83</v>
      </c>
      <c r="J12" s="33" t="n">
        <v>85</v>
      </c>
      <c r="K12" s="33" t="n">
        <v>71</v>
      </c>
      <c r="L12" s="33" t="n">
        <v>70</v>
      </c>
      <c r="M12" s="33" t="n">
        <v>71</v>
      </c>
      <c r="N12" s="33" t="n">
        <v>88</v>
      </c>
      <c r="O12" s="33" t="n">
        <v>108</v>
      </c>
      <c r="P12" s="33" t="n">
        <v>130</v>
      </c>
      <c r="Q12" s="33" t="n">
        <v>110</v>
      </c>
      <c r="R12" s="33" t="n">
        <v>105</v>
      </c>
      <c r="S12" s="33" t="n">
        <v>102</v>
      </c>
      <c r="T12" s="33" t="n">
        <v>168</v>
      </c>
      <c r="U12" s="74"/>
    </row>
    <row r="13" customFormat="false" ht="15" hidden="false" customHeight="true" outlineLevel="0" collapsed="false">
      <c r="A13" s="69"/>
      <c r="B13" s="6" t="s">
        <v>354</v>
      </c>
      <c r="C13" s="42" t="n">
        <v>142352</v>
      </c>
      <c r="D13" s="42" t="n">
        <v>15250</v>
      </c>
      <c r="E13" s="42" t="n">
        <v>87</v>
      </c>
      <c r="F13" s="42" t="n">
        <v>78</v>
      </c>
      <c r="G13" s="42" t="n">
        <v>85</v>
      </c>
      <c r="H13" s="42" t="n">
        <v>71</v>
      </c>
      <c r="I13" s="42" t="n">
        <v>83</v>
      </c>
      <c r="J13" s="42" t="n">
        <v>85</v>
      </c>
      <c r="K13" s="42" t="n">
        <v>3763</v>
      </c>
      <c r="L13" s="42" t="n">
        <v>1120</v>
      </c>
      <c r="M13" s="42" t="n">
        <v>284</v>
      </c>
      <c r="N13" s="42" t="n">
        <v>1760</v>
      </c>
      <c r="O13" s="42" t="n">
        <v>756</v>
      </c>
      <c r="P13" s="42" t="n">
        <v>130</v>
      </c>
      <c r="Q13" s="42" t="n">
        <v>110</v>
      </c>
      <c r="R13" s="42" t="n">
        <v>840</v>
      </c>
      <c r="S13" s="42" t="n">
        <v>7854</v>
      </c>
      <c r="T13" s="42" t="n">
        <v>168</v>
      </c>
      <c r="U13" s="75" t="n">
        <v>174876</v>
      </c>
    </row>
    <row r="14" customFormat="false" ht="15" hidden="false" customHeight="true" outlineLevel="0" collapsed="false">
      <c r="A14" s="69"/>
      <c r="B14" s="6" t="s">
        <v>355</v>
      </c>
      <c r="C14" s="42" t="n">
        <v>11316</v>
      </c>
      <c r="D14" s="42" t="n">
        <v>1250</v>
      </c>
      <c r="E14" s="42" t="n">
        <v>0</v>
      </c>
      <c r="F14" s="42" t="n">
        <v>0</v>
      </c>
      <c r="G14" s="42" t="n">
        <v>0</v>
      </c>
      <c r="H14" s="42" t="n">
        <v>0</v>
      </c>
      <c r="I14" s="42" t="n">
        <v>0</v>
      </c>
      <c r="J14" s="42" t="n">
        <v>0</v>
      </c>
      <c r="K14" s="42" t="n">
        <v>284</v>
      </c>
      <c r="L14" s="42" t="n">
        <v>70</v>
      </c>
      <c r="M14" s="42" t="n">
        <v>0</v>
      </c>
      <c r="N14" s="42" t="n">
        <v>176</v>
      </c>
      <c r="O14" s="42" t="n">
        <v>108</v>
      </c>
      <c r="P14" s="42" t="n">
        <v>0</v>
      </c>
      <c r="Q14" s="42" t="n">
        <v>0</v>
      </c>
      <c r="R14" s="42" t="n">
        <v>105</v>
      </c>
      <c r="S14" s="42" t="n">
        <v>612</v>
      </c>
      <c r="T14" s="42" t="n">
        <v>0</v>
      </c>
      <c r="U14" s="75" t="n">
        <v>13921</v>
      </c>
    </row>
    <row r="15" customFormat="false" ht="15" hidden="false" customHeight="true" outlineLevel="0" collapsed="false">
      <c r="A15" s="69"/>
      <c r="B15" s="72" t="s">
        <v>356</v>
      </c>
      <c r="C15" s="76" t="n">
        <v>131036</v>
      </c>
      <c r="D15" s="76" t="n">
        <v>14000</v>
      </c>
      <c r="E15" s="76" t="n">
        <v>87</v>
      </c>
      <c r="F15" s="76" t="n">
        <v>78</v>
      </c>
      <c r="G15" s="76" t="n">
        <v>85</v>
      </c>
      <c r="H15" s="76" t="n">
        <v>71</v>
      </c>
      <c r="I15" s="76" t="n">
        <v>83</v>
      </c>
      <c r="J15" s="76" t="n">
        <v>85</v>
      </c>
      <c r="K15" s="76" t="n">
        <v>3479</v>
      </c>
      <c r="L15" s="76" t="n">
        <v>1050</v>
      </c>
      <c r="M15" s="76" t="n">
        <v>284</v>
      </c>
      <c r="N15" s="76" t="n">
        <v>1584</v>
      </c>
      <c r="O15" s="76" t="n">
        <v>648</v>
      </c>
      <c r="P15" s="76" t="n">
        <v>130</v>
      </c>
      <c r="Q15" s="76" t="n">
        <v>110</v>
      </c>
      <c r="R15" s="76" t="n">
        <v>735</v>
      </c>
      <c r="S15" s="76" t="n">
        <v>7242</v>
      </c>
      <c r="T15" s="76" t="n">
        <v>168</v>
      </c>
      <c r="U15" s="76" t="n">
        <v>160955</v>
      </c>
    </row>
    <row r="16" customFormat="false" ht="15" hidden="false" customHeight="true" outlineLevel="0" collapsed="false">
      <c r="A16" s="69"/>
      <c r="B16" s="6" t="s">
        <v>357</v>
      </c>
      <c r="C16" s="47" t="n">
        <v>164</v>
      </c>
      <c r="D16" s="47" t="n">
        <v>250</v>
      </c>
      <c r="E16" s="47" t="n">
        <v>87</v>
      </c>
      <c r="F16" s="47" t="n">
        <v>78</v>
      </c>
      <c r="G16" s="47" t="n">
        <v>85</v>
      </c>
      <c r="H16" s="47" t="n">
        <v>71</v>
      </c>
      <c r="I16" s="47" t="n">
        <v>83</v>
      </c>
      <c r="J16" s="47" t="n">
        <v>85</v>
      </c>
      <c r="K16" s="47" t="n">
        <v>71</v>
      </c>
      <c r="L16" s="47" t="n">
        <v>70</v>
      </c>
      <c r="M16" s="47" t="n">
        <v>71</v>
      </c>
      <c r="N16" s="47" t="n">
        <v>88</v>
      </c>
      <c r="O16" s="47" t="n">
        <v>108</v>
      </c>
      <c r="P16" s="47" t="n">
        <v>130</v>
      </c>
      <c r="Q16" s="47" t="n">
        <v>110</v>
      </c>
      <c r="R16" s="47" t="n">
        <v>105</v>
      </c>
      <c r="S16" s="47" t="n">
        <v>102</v>
      </c>
      <c r="T16" s="47" t="n">
        <v>168</v>
      </c>
      <c r="U16" s="74" t="n">
        <v>155.66</v>
      </c>
    </row>
    <row r="17" customFormat="false" ht="15.75" hidden="false" customHeight="true" outlineLevel="0" collapsed="false">
      <c r="A17" s="68" t="s">
        <v>358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</row>
    <row r="18" customFormat="false" ht="15" hidden="false" customHeight="true" outlineLevel="0" collapsed="false">
      <c r="A18" s="69" t="s">
        <v>359</v>
      </c>
      <c r="B18" s="6" t="s">
        <v>360</v>
      </c>
      <c r="C18" s="33" t="n">
        <v>92.35</v>
      </c>
      <c r="D18" s="33" t="n">
        <v>184.7</v>
      </c>
      <c r="E18" s="33" t="n">
        <v>32.5</v>
      </c>
      <c r="F18" s="33" t="n">
        <v>29.4</v>
      </c>
      <c r="G18" s="33" t="n">
        <v>30.44</v>
      </c>
      <c r="H18" s="33" t="n">
        <v>31.2</v>
      </c>
      <c r="I18" s="33" t="n">
        <v>32.5</v>
      </c>
      <c r="J18" s="33" t="n">
        <v>46.92</v>
      </c>
      <c r="K18" s="33" t="n">
        <v>49.99</v>
      </c>
      <c r="L18" s="33" t="n">
        <v>45.87</v>
      </c>
      <c r="M18" s="33" t="n">
        <v>43.81</v>
      </c>
      <c r="N18" s="33" t="n">
        <v>47.42</v>
      </c>
      <c r="O18" s="33" t="n">
        <v>49.99</v>
      </c>
      <c r="P18" s="33" t="n">
        <v>94</v>
      </c>
      <c r="Q18" s="33" t="n">
        <v>84.98</v>
      </c>
      <c r="R18" s="33" t="n">
        <v>76.74</v>
      </c>
      <c r="S18" s="33" t="n">
        <v>72.62</v>
      </c>
      <c r="T18" s="33" t="n">
        <v>87</v>
      </c>
      <c r="U18" s="74"/>
    </row>
    <row r="19" customFormat="false" ht="15" hidden="false" customHeight="true" outlineLevel="0" collapsed="false">
      <c r="A19" s="69"/>
      <c r="B19" s="6" t="s">
        <v>361</v>
      </c>
      <c r="C19" s="47" t="n">
        <v>73787.65</v>
      </c>
      <c r="D19" s="47" t="n">
        <v>10343.2</v>
      </c>
      <c r="E19" s="47" t="n">
        <v>32.5</v>
      </c>
      <c r="F19" s="47" t="n">
        <v>29.4</v>
      </c>
      <c r="G19" s="47" t="n">
        <v>30.44</v>
      </c>
      <c r="H19" s="47" t="n">
        <v>31.2</v>
      </c>
      <c r="I19" s="47" t="n">
        <v>32.5</v>
      </c>
      <c r="J19" s="47" t="n">
        <v>46.92</v>
      </c>
      <c r="K19" s="47" t="n">
        <v>2449.51</v>
      </c>
      <c r="L19" s="47" t="n">
        <v>688.05</v>
      </c>
      <c r="M19" s="47" t="n">
        <v>175.24</v>
      </c>
      <c r="N19" s="47" t="n">
        <v>853.56</v>
      </c>
      <c r="O19" s="47" t="n">
        <v>299.94</v>
      </c>
      <c r="P19" s="47" t="n">
        <v>94</v>
      </c>
      <c r="Q19" s="47" t="n">
        <v>84.98</v>
      </c>
      <c r="R19" s="47" t="n">
        <v>537.18</v>
      </c>
      <c r="S19" s="47" t="n">
        <v>5156.02</v>
      </c>
      <c r="T19" s="47" t="n">
        <v>87</v>
      </c>
      <c r="U19" s="74" t="n">
        <v>94759.29</v>
      </c>
    </row>
    <row r="20" customFormat="false" ht="15.75" hidden="false" customHeight="true" outlineLevel="0" collapsed="false">
      <c r="A20" s="68" t="s">
        <v>362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</row>
    <row r="21" customFormat="false" ht="15" hidden="false" customHeight="true" outlineLevel="0" collapsed="false">
      <c r="A21" s="69" t="s">
        <v>363</v>
      </c>
      <c r="B21" s="6" t="s">
        <v>364</v>
      </c>
      <c r="C21" s="47" t="n">
        <v>57248.35</v>
      </c>
      <c r="D21" s="47" t="n">
        <v>3656.8</v>
      </c>
      <c r="E21" s="47" t="n">
        <v>54.5</v>
      </c>
      <c r="F21" s="47" t="n">
        <v>48.6</v>
      </c>
      <c r="G21" s="47" t="n">
        <v>54.56</v>
      </c>
      <c r="H21" s="47" t="n">
        <v>39.8</v>
      </c>
      <c r="I21" s="47" t="n">
        <v>50.5</v>
      </c>
      <c r="J21" s="47" t="n">
        <v>38.08</v>
      </c>
      <c r="K21" s="47" t="n">
        <v>1029.49</v>
      </c>
      <c r="L21" s="47" t="n">
        <v>361.95</v>
      </c>
      <c r="M21" s="47" t="n">
        <v>108.76</v>
      </c>
      <c r="N21" s="47" t="n">
        <v>730.44</v>
      </c>
      <c r="O21" s="47" t="n">
        <v>348.06</v>
      </c>
      <c r="P21" s="47" t="n">
        <v>36</v>
      </c>
      <c r="Q21" s="47" t="n">
        <v>25.02</v>
      </c>
      <c r="R21" s="47" t="n">
        <v>197.82</v>
      </c>
      <c r="S21" s="47" t="n">
        <v>2085.98</v>
      </c>
      <c r="T21" s="47" t="n">
        <v>81</v>
      </c>
      <c r="U21" s="74" t="n">
        <v>66195.71</v>
      </c>
    </row>
    <row r="22" customFormat="false" ht="15" hidden="false" customHeight="true" outlineLevel="0" collapsed="false">
      <c r="A22" s="69"/>
      <c r="B22" s="6" t="s">
        <v>365</v>
      </c>
      <c r="C22" s="47" t="n">
        <v>71.65</v>
      </c>
      <c r="D22" s="47" t="n">
        <v>65.3</v>
      </c>
      <c r="E22" s="47" t="n">
        <v>54.5</v>
      </c>
      <c r="F22" s="47" t="n">
        <v>48.6</v>
      </c>
      <c r="G22" s="47" t="n">
        <v>54.56</v>
      </c>
      <c r="H22" s="47" t="n">
        <v>39.8</v>
      </c>
      <c r="I22" s="47" t="n">
        <v>50.5</v>
      </c>
      <c r="J22" s="47" t="n">
        <v>38.08</v>
      </c>
      <c r="K22" s="47" t="n">
        <v>21.01</v>
      </c>
      <c r="L22" s="47" t="n">
        <v>24.13</v>
      </c>
      <c r="M22" s="47" t="n">
        <v>27.19</v>
      </c>
      <c r="N22" s="47" t="n">
        <v>40.58</v>
      </c>
      <c r="O22" s="47" t="n">
        <v>58.01</v>
      </c>
      <c r="P22" s="47" t="n">
        <v>36</v>
      </c>
      <c r="Q22" s="47" t="n">
        <v>25.02</v>
      </c>
      <c r="R22" s="47" t="n">
        <v>28.26</v>
      </c>
      <c r="S22" s="47" t="n">
        <v>29.38</v>
      </c>
      <c r="T22" s="47" t="n">
        <v>81</v>
      </c>
      <c r="U22" s="74" t="n">
        <v>64.02</v>
      </c>
    </row>
    <row r="23" customFormat="false" ht="15" hidden="false" customHeight="true" outlineLevel="0" collapsed="false">
      <c r="A23" s="69"/>
      <c r="B23" s="72" t="s">
        <v>366</v>
      </c>
      <c r="C23" s="77" t="n">
        <v>0.437</v>
      </c>
      <c r="D23" s="77" t="n">
        <v>0.261</v>
      </c>
      <c r="E23" s="77" t="n">
        <v>0.626</v>
      </c>
      <c r="F23" s="77" t="n">
        <v>0.623</v>
      </c>
      <c r="G23" s="77" t="n">
        <v>0.642</v>
      </c>
      <c r="H23" s="77" t="n">
        <v>0.561</v>
      </c>
      <c r="I23" s="77" t="n">
        <v>0.608</v>
      </c>
      <c r="J23" s="77" t="n">
        <v>0.448</v>
      </c>
      <c r="K23" s="77" t="n">
        <v>0.296</v>
      </c>
      <c r="L23" s="77" t="n">
        <v>0.345</v>
      </c>
      <c r="M23" s="77" t="n">
        <v>0.383</v>
      </c>
      <c r="N23" s="77" t="n">
        <v>0.461</v>
      </c>
      <c r="O23" s="77" t="n">
        <v>0.537</v>
      </c>
      <c r="P23" s="77" t="n">
        <v>0.277</v>
      </c>
      <c r="Q23" s="77" t="n">
        <v>0.227</v>
      </c>
      <c r="R23" s="77" t="n">
        <v>0.269</v>
      </c>
      <c r="S23" s="77" t="n">
        <v>0.288</v>
      </c>
      <c r="T23" s="77" t="n">
        <v>0.482</v>
      </c>
      <c r="U23" s="77" t="n">
        <v>0.411</v>
      </c>
    </row>
    <row r="24" customFormat="false" ht="15.75" hidden="false" customHeight="true" outlineLevel="0" collapsed="false">
      <c r="A24" s="68" t="s">
        <v>367</v>
      </c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</row>
    <row r="25" customFormat="false" ht="15" hidden="false" customHeight="true" outlineLevel="0" collapsed="false">
      <c r="A25" s="69" t="s">
        <v>368</v>
      </c>
      <c r="B25" s="6" t="s">
        <v>369</v>
      </c>
      <c r="C25" s="33" t="n">
        <v>9</v>
      </c>
      <c r="D25" s="33" t="n">
        <v>12</v>
      </c>
      <c r="E25" s="33" t="n">
        <v>7</v>
      </c>
      <c r="F25" s="33" t="n">
        <v>7</v>
      </c>
      <c r="G25" s="33" t="n">
        <v>7</v>
      </c>
      <c r="H25" s="33" t="n">
        <v>7</v>
      </c>
      <c r="I25" s="33" t="n">
        <v>7</v>
      </c>
      <c r="J25" s="33" t="n">
        <v>7</v>
      </c>
      <c r="K25" s="33" t="n">
        <v>8</v>
      </c>
      <c r="L25" s="33" t="n">
        <v>8</v>
      </c>
      <c r="M25" s="33" t="n">
        <v>7</v>
      </c>
      <c r="N25" s="33" t="n">
        <v>8</v>
      </c>
      <c r="O25" s="33" t="n">
        <v>9</v>
      </c>
      <c r="P25" s="33" t="n">
        <v>8</v>
      </c>
      <c r="Q25" s="33" t="n">
        <v>8</v>
      </c>
      <c r="R25" s="33" t="n">
        <v>9</v>
      </c>
      <c r="S25" s="33" t="n">
        <v>9</v>
      </c>
      <c r="T25" s="33" t="n">
        <v>9</v>
      </c>
      <c r="U25" s="74"/>
    </row>
    <row r="26" customFormat="false" ht="15" hidden="false" customHeight="true" outlineLevel="0" collapsed="false">
      <c r="A26" s="69"/>
      <c r="B26" s="6" t="s">
        <v>370</v>
      </c>
      <c r="C26" s="42" t="n">
        <v>7191</v>
      </c>
      <c r="D26" s="42" t="n">
        <v>672</v>
      </c>
      <c r="E26" s="42" t="n">
        <v>7</v>
      </c>
      <c r="F26" s="42" t="n">
        <v>7</v>
      </c>
      <c r="G26" s="42" t="n">
        <v>7</v>
      </c>
      <c r="H26" s="42" t="n">
        <v>7</v>
      </c>
      <c r="I26" s="42" t="n">
        <v>7</v>
      </c>
      <c r="J26" s="42" t="n">
        <v>7</v>
      </c>
      <c r="K26" s="42" t="n">
        <v>392</v>
      </c>
      <c r="L26" s="42" t="n">
        <v>120</v>
      </c>
      <c r="M26" s="42" t="n">
        <v>28</v>
      </c>
      <c r="N26" s="42" t="n">
        <v>144</v>
      </c>
      <c r="O26" s="42" t="n">
        <v>54</v>
      </c>
      <c r="P26" s="42" t="n">
        <v>8</v>
      </c>
      <c r="Q26" s="42" t="n">
        <v>8</v>
      </c>
      <c r="R26" s="42" t="n">
        <v>63</v>
      </c>
      <c r="S26" s="42" t="n">
        <v>639</v>
      </c>
      <c r="T26" s="42" t="n">
        <v>9</v>
      </c>
      <c r="U26" s="75" t="n">
        <v>9370</v>
      </c>
    </row>
    <row r="27" customFormat="false" ht="15" hidden="false" customHeight="true" outlineLevel="0" collapsed="false">
      <c r="A27" s="69"/>
      <c r="B27" s="6" t="s">
        <v>371</v>
      </c>
      <c r="C27" s="33" t="n">
        <v>3.35</v>
      </c>
      <c r="D27" s="33" t="n">
        <v>22.46</v>
      </c>
      <c r="E27" s="33" t="n">
        <v>12.29</v>
      </c>
      <c r="F27" s="33" t="n">
        <v>12.29</v>
      </c>
      <c r="G27" s="33" t="n">
        <v>12.29</v>
      </c>
      <c r="H27" s="33" t="n">
        <v>12.29</v>
      </c>
      <c r="I27" s="33" t="n">
        <v>12.29</v>
      </c>
      <c r="J27" s="33" t="n">
        <v>12.29</v>
      </c>
      <c r="K27" s="33" t="n">
        <v>12.29</v>
      </c>
      <c r="L27" s="33" t="n">
        <v>0</v>
      </c>
      <c r="M27" s="33" t="n">
        <v>0</v>
      </c>
      <c r="N27" s="33" t="n">
        <v>0</v>
      </c>
      <c r="O27" s="33" t="n">
        <v>0</v>
      </c>
      <c r="P27" s="33" t="n">
        <v>0</v>
      </c>
      <c r="Q27" s="33" t="n">
        <v>0</v>
      </c>
      <c r="R27" s="33" t="n">
        <v>0</v>
      </c>
      <c r="S27" s="33" t="n">
        <v>0</v>
      </c>
      <c r="T27" s="33" t="n">
        <v>0</v>
      </c>
      <c r="U27" s="74"/>
    </row>
    <row r="28" customFormat="false" ht="15" hidden="false" customHeight="true" outlineLevel="0" collapsed="false">
      <c r="A28" s="69"/>
      <c r="B28" s="6" t="s">
        <v>372</v>
      </c>
      <c r="C28" s="47" t="n">
        <v>2676.65</v>
      </c>
      <c r="D28" s="47" t="n">
        <v>1257.76</v>
      </c>
      <c r="E28" s="47" t="n">
        <v>12.29</v>
      </c>
      <c r="F28" s="47" t="n">
        <v>12.29</v>
      </c>
      <c r="G28" s="47" t="n">
        <v>12.29</v>
      </c>
      <c r="H28" s="47" t="n">
        <v>12.29</v>
      </c>
      <c r="I28" s="47" t="n">
        <v>12.29</v>
      </c>
      <c r="J28" s="47" t="n">
        <v>12.29</v>
      </c>
      <c r="K28" s="47" t="n">
        <v>602.21</v>
      </c>
      <c r="L28" s="47" t="n">
        <v>0</v>
      </c>
      <c r="M28" s="47" t="n">
        <v>0</v>
      </c>
      <c r="N28" s="47" t="n">
        <v>0</v>
      </c>
      <c r="O28" s="47" t="n">
        <v>0</v>
      </c>
      <c r="P28" s="47" t="n">
        <v>0</v>
      </c>
      <c r="Q28" s="47" t="n">
        <v>0</v>
      </c>
      <c r="R28" s="47" t="n">
        <v>0</v>
      </c>
      <c r="S28" s="47" t="n">
        <v>0</v>
      </c>
      <c r="T28" s="47" t="n">
        <v>0</v>
      </c>
      <c r="U28" s="74" t="n">
        <v>4610.36</v>
      </c>
    </row>
    <row r="29" customFormat="false" ht="15" hidden="false" customHeight="true" outlineLevel="0" collapsed="false">
      <c r="A29" s="69"/>
      <c r="B29" s="6" t="s">
        <v>373</v>
      </c>
      <c r="C29" s="33" t="n">
        <v>14427.93</v>
      </c>
      <c r="D29" s="33" t="n">
        <v>1541.49</v>
      </c>
      <c r="E29" s="33" t="n">
        <v>8.26</v>
      </c>
      <c r="F29" s="33" t="n">
        <v>8.59</v>
      </c>
      <c r="G29" s="33" t="n">
        <v>9.36</v>
      </c>
      <c r="H29" s="33" t="n">
        <v>7.82</v>
      </c>
      <c r="I29" s="33" t="n">
        <v>9.14</v>
      </c>
      <c r="J29" s="33" t="n">
        <v>9.36</v>
      </c>
      <c r="K29" s="33" t="n">
        <v>383.06</v>
      </c>
      <c r="L29" s="33" t="n">
        <v>115.61</v>
      </c>
      <c r="M29" s="33" t="n">
        <v>31.27</v>
      </c>
      <c r="N29" s="33" t="n">
        <v>174.41</v>
      </c>
      <c r="O29" s="33" t="n">
        <v>71.35</v>
      </c>
      <c r="P29" s="33" t="n">
        <v>14.31</v>
      </c>
      <c r="Q29" s="33" t="n">
        <v>12.11</v>
      </c>
      <c r="R29" s="33" t="n">
        <v>80.93</v>
      </c>
      <c r="S29" s="33" t="n">
        <v>797.39</v>
      </c>
      <c r="T29" s="33" t="n">
        <v>18.5</v>
      </c>
      <c r="U29" s="74" t="n">
        <v>17720.89</v>
      </c>
    </row>
    <row r="30" customFormat="false" ht="15" hidden="false" customHeight="true" outlineLevel="0" collapsed="false">
      <c r="A30" s="69"/>
      <c r="B30" s="6" t="s">
        <v>374</v>
      </c>
      <c r="C30" s="47" t="n">
        <v>1.64</v>
      </c>
      <c r="D30" s="47" t="n">
        <v>2.5</v>
      </c>
      <c r="E30" s="47" t="n">
        <v>0.75</v>
      </c>
      <c r="F30" s="47" t="n">
        <v>0.78</v>
      </c>
      <c r="G30" s="47" t="n">
        <v>0.85</v>
      </c>
      <c r="H30" s="47" t="n">
        <v>0.71</v>
      </c>
      <c r="I30" s="47" t="n">
        <v>0.83</v>
      </c>
      <c r="J30" s="47" t="n">
        <v>0.85</v>
      </c>
      <c r="K30" s="47" t="n">
        <v>0.71</v>
      </c>
      <c r="L30" s="47" t="n">
        <v>0.7</v>
      </c>
      <c r="M30" s="47" t="n">
        <v>0.71</v>
      </c>
      <c r="N30" s="47" t="n">
        <v>0.88</v>
      </c>
      <c r="O30" s="47" t="n">
        <v>1.08</v>
      </c>
      <c r="P30" s="47" t="n">
        <v>1.3</v>
      </c>
      <c r="Q30" s="47" t="n">
        <v>1.1</v>
      </c>
      <c r="R30" s="47" t="n">
        <v>1.05</v>
      </c>
      <c r="S30" s="47" t="n">
        <v>1.02</v>
      </c>
      <c r="T30" s="47" t="n">
        <v>1.68</v>
      </c>
      <c r="U30" s="74" t="n">
        <v>1.56</v>
      </c>
    </row>
    <row r="31" customFormat="false" ht="15" hidden="false" customHeight="true" outlineLevel="0" collapsed="false">
      <c r="A31" s="69"/>
      <c r="B31" s="6" t="s">
        <v>375</v>
      </c>
      <c r="C31" s="47" t="n">
        <v>1.62</v>
      </c>
      <c r="D31" s="47" t="n">
        <v>2.16</v>
      </c>
      <c r="E31" s="47" t="n">
        <v>1.26</v>
      </c>
      <c r="F31" s="47" t="n">
        <v>1.26</v>
      </c>
      <c r="G31" s="47" t="n">
        <v>1.26</v>
      </c>
      <c r="H31" s="47" t="n">
        <v>1.26</v>
      </c>
      <c r="I31" s="47" t="n">
        <v>1.26</v>
      </c>
      <c r="J31" s="47" t="n">
        <v>1.26</v>
      </c>
      <c r="K31" s="47" t="n">
        <v>1.44</v>
      </c>
      <c r="L31" s="47" t="n">
        <v>1.44</v>
      </c>
      <c r="M31" s="47" t="n">
        <v>1.26</v>
      </c>
      <c r="N31" s="47" t="n">
        <v>1.44</v>
      </c>
      <c r="O31" s="47" t="n">
        <v>1.62</v>
      </c>
      <c r="P31" s="47" t="n">
        <v>1.44</v>
      </c>
      <c r="Q31" s="47" t="n">
        <v>1.44</v>
      </c>
      <c r="R31" s="47" t="n">
        <v>1.62</v>
      </c>
      <c r="S31" s="47" t="n">
        <v>1.62</v>
      </c>
      <c r="T31" s="47" t="n">
        <v>1.62</v>
      </c>
      <c r="U31" s="74" t="n">
        <v>1.63</v>
      </c>
    </row>
    <row r="32" customFormat="false" ht="15" hidden="false" customHeight="true" outlineLevel="0" collapsed="false">
      <c r="A32" s="69"/>
      <c r="B32" s="6" t="s">
        <v>376</v>
      </c>
      <c r="C32" s="47" t="n">
        <v>2604.74</v>
      </c>
      <c r="D32" s="47" t="n">
        <v>260.96</v>
      </c>
      <c r="E32" s="47" t="n">
        <v>2.01</v>
      </c>
      <c r="F32" s="47" t="n">
        <v>2.04</v>
      </c>
      <c r="G32" s="47" t="n">
        <v>2.11</v>
      </c>
      <c r="H32" s="47" t="n">
        <v>1.97</v>
      </c>
      <c r="I32" s="47" t="n">
        <v>2.09</v>
      </c>
      <c r="J32" s="47" t="n">
        <v>2.11</v>
      </c>
      <c r="K32" s="47" t="n">
        <v>105.35</v>
      </c>
      <c r="L32" s="47" t="n">
        <v>32.1</v>
      </c>
      <c r="M32" s="47" t="n">
        <v>7.88</v>
      </c>
      <c r="N32" s="47" t="n">
        <v>41.76</v>
      </c>
      <c r="O32" s="47" t="n">
        <v>16.2</v>
      </c>
      <c r="P32" s="47" t="n">
        <v>2.74</v>
      </c>
      <c r="Q32" s="47" t="n">
        <v>2.54</v>
      </c>
      <c r="R32" s="47" t="n">
        <v>18.69</v>
      </c>
      <c r="S32" s="47" t="n">
        <v>187.44</v>
      </c>
      <c r="T32" s="47" t="n">
        <v>3.3</v>
      </c>
      <c r="U32" s="74" t="n">
        <v>3296.03</v>
      </c>
    </row>
    <row r="33" customFormat="false" ht="15" hidden="false" customHeight="true" outlineLevel="0" collapsed="false">
      <c r="A33" s="69"/>
      <c r="B33" s="72" t="s">
        <v>377</v>
      </c>
      <c r="C33" s="78" t="n">
        <v>26900.32</v>
      </c>
      <c r="D33" s="78" t="n">
        <v>3732.21</v>
      </c>
      <c r="E33" s="78" t="n">
        <v>29.56</v>
      </c>
      <c r="F33" s="78" t="n">
        <v>29.92</v>
      </c>
      <c r="G33" s="78" t="n">
        <v>30.76</v>
      </c>
      <c r="H33" s="78" t="n">
        <v>29.08</v>
      </c>
      <c r="I33" s="78" t="n">
        <v>30.52</v>
      </c>
      <c r="J33" s="78" t="n">
        <v>30.76</v>
      </c>
      <c r="K33" s="78" t="n">
        <v>1482.62</v>
      </c>
      <c r="L33" s="78" t="n">
        <v>267.71</v>
      </c>
      <c r="M33" s="78" t="n">
        <v>67.15</v>
      </c>
      <c r="N33" s="78" t="n">
        <v>360.17</v>
      </c>
      <c r="O33" s="78" t="n">
        <v>141.55</v>
      </c>
      <c r="P33" s="78" t="n">
        <v>25.05</v>
      </c>
      <c r="Q33" s="78" t="n">
        <v>22.65</v>
      </c>
      <c r="R33" s="78" t="n">
        <v>162.62</v>
      </c>
      <c r="S33" s="78" t="n">
        <v>1623.83</v>
      </c>
      <c r="T33" s="78" t="n">
        <v>30.8</v>
      </c>
      <c r="U33" s="78" t="n">
        <v>34997.28</v>
      </c>
    </row>
    <row r="34" customFormat="false" ht="15" hidden="false" customHeight="true" outlineLevel="0" collapsed="false">
      <c r="A34" s="69"/>
      <c r="B34" s="72" t="s">
        <v>378</v>
      </c>
      <c r="C34" s="78" t="n">
        <v>100687.97</v>
      </c>
      <c r="D34" s="78" t="n">
        <v>14075.41</v>
      </c>
      <c r="E34" s="78" t="n">
        <v>62.06</v>
      </c>
      <c r="F34" s="78" t="n">
        <v>59.32</v>
      </c>
      <c r="G34" s="78" t="n">
        <v>61.2</v>
      </c>
      <c r="H34" s="78" t="n">
        <v>60.28</v>
      </c>
      <c r="I34" s="78" t="n">
        <v>63.02</v>
      </c>
      <c r="J34" s="78" t="n">
        <v>77.68</v>
      </c>
      <c r="K34" s="78" t="n">
        <v>3932.13</v>
      </c>
      <c r="L34" s="78" t="n">
        <v>955.76</v>
      </c>
      <c r="M34" s="78" t="n">
        <v>242.39</v>
      </c>
      <c r="N34" s="78" t="n">
        <v>1213.73</v>
      </c>
      <c r="O34" s="78" t="n">
        <v>441.49</v>
      </c>
      <c r="P34" s="78" t="n">
        <v>119.05</v>
      </c>
      <c r="Q34" s="78" t="n">
        <v>107.63</v>
      </c>
      <c r="R34" s="78" t="n">
        <v>699.8</v>
      </c>
      <c r="S34" s="78" t="n">
        <v>6779.85</v>
      </c>
      <c r="T34" s="78" t="n">
        <v>117.8</v>
      </c>
      <c r="U34" s="78" t="n">
        <v>129756.57</v>
      </c>
    </row>
    <row r="35" customFormat="false" ht="15.75" hidden="false" customHeight="true" outlineLevel="0" collapsed="false">
      <c r="A35" s="68" t="s">
        <v>379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</row>
    <row r="36" customFormat="false" ht="15" hidden="false" customHeight="true" outlineLevel="0" collapsed="false">
      <c r="A36" s="69" t="s">
        <v>380</v>
      </c>
      <c r="B36" s="72" t="s">
        <v>381</v>
      </c>
      <c r="C36" s="78" t="n">
        <v>30348.03</v>
      </c>
      <c r="D36" s="78" t="n">
        <v>-75.41</v>
      </c>
      <c r="E36" s="78" t="n">
        <v>24.94</v>
      </c>
      <c r="F36" s="78" t="n">
        <v>18.68</v>
      </c>
      <c r="G36" s="78" t="n">
        <v>23.8</v>
      </c>
      <c r="H36" s="78" t="n">
        <v>10.72</v>
      </c>
      <c r="I36" s="78" t="n">
        <v>19.98</v>
      </c>
      <c r="J36" s="78" t="n">
        <v>7.32</v>
      </c>
      <c r="K36" s="78" t="n">
        <v>-453.13</v>
      </c>
      <c r="L36" s="78" t="n">
        <v>94.24</v>
      </c>
      <c r="M36" s="78" t="n">
        <v>41.61</v>
      </c>
      <c r="N36" s="78" t="n">
        <v>370.27</v>
      </c>
      <c r="O36" s="78" t="n">
        <v>206.51</v>
      </c>
      <c r="P36" s="78" t="n">
        <v>10.95</v>
      </c>
      <c r="Q36" s="78" t="n">
        <v>2.37</v>
      </c>
      <c r="R36" s="78" t="n">
        <v>35.2</v>
      </c>
      <c r="S36" s="78" t="n">
        <v>462.15</v>
      </c>
      <c r="T36" s="78" t="n">
        <v>50.2</v>
      </c>
      <c r="U36" s="78" t="n">
        <v>31198.43</v>
      </c>
    </row>
    <row r="37" customFormat="false" ht="15" hidden="false" customHeight="true" outlineLevel="0" collapsed="false">
      <c r="A37" s="69"/>
      <c r="B37" s="6" t="s">
        <v>382</v>
      </c>
      <c r="C37" s="47" t="n">
        <v>37.98</v>
      </c>
      <c r="D37" s="47" t="n">
        <v>-1.35</v>
      </c>
      <c r="E37" s="47" t="n">
        <v>24.94</v>
      </c>
      <c r="F37" s="47" t="n">
        <v>18.68</v>
      </c>
      <c r="G37" s="47" t="n">
        <v>23.8</v>
      </c>
      <c r="H37" s="47" t="n">
        <v>10.72</v>
      </c>
      <c r="I37" s="47" t="n">
        <v>19.98</v>
      </c>
      <c r="J37" s="47" t="n">
        <v>7.32</v>
      </c>
      <c r="K37" s="47" t="n">
        <v>-9.25</v>
      </c>
      <c r="L37" s="47" t="n">
        <v>6.28</v>
      </c>
      <c r="M37" s="47" t="n">
        <v>10.4</v>
      </c>
      <c r="N37" s="47" t="n">
        <v>20.57</v>
      </c>
      <c r="O37" s="47" t="n">
        <v>34.42</v>
      </c>
      <c r="P37" s="47" t="n">
        <v>10.95</v>
      </c>
      <c r="Q37" s="47" t="n">
        <v>2.37</v>
      </c>
      <c r="R37" s="47" t="n">
        <v>5.03</v>
      </c>
      <c r="S37" s="47" t="n">
        <v>6.51</v>
      </c>
      <c r="T37" s="47" t="n">
        <v>50.2</v>
      </c>
      <c r="U37" s="74" t="n">
        <v>30.17</v>
      </c>
    </row>
    <row r="38" customFormat="false" ht="15" hidden="false" customHeight="true" outlineLevel="0" collapsed="false">
      <c r="A38" s="69"/>
      <c r="B38" s="6" t="s">
        <v>383</v>
      </c>
      <c r="C38" s="45" t="n">
        <v>0.232</v>
      </c>
      <c r="D38" s="45" t="n">
        <v>-0.005</v>
      </c>
      <c r="E38" s="45" t="n">
        <v>0.287</v>
      </c>
      <c r="F38" s="45" t="n">
        <v>0.239</v>
      </c>
      <c r="G38" s="45" t="n">
        <v>0.28</v>
      </c>
      <c r="H38" s="45" t="n">
        <v>0.151</v>
      </c>
      <c r="I38" s="45" t="n">
        <v>0.241</v>
      </c>
      <c r="J38" s="45" t="n">
        <v>0.086</v>
      </c>
      <c r="K38" s="45" t="n">
        <v>-0.13</v>
      </c>
      <c r="L38" s="45" t="n">
        <v>0.09</v>
      </c>
      <c r="M38" s="45" t="n">
        <v>0.147</v>
      </c>
      <c r="N38" s="45" t="n">
        <v>0.234</v>
      </c>
      <c r="O38" s="45" t="n">
        <v>0.319</v>
      </c>
      <c r="P38" s="45" t="n">
        <v>0.084</v>
      </c>
      <c r="Q38" s="45" t="n">
        <v>0.022</v>
      </c>
      <c r="R38" s="45" t="n">
        <v>0.048</v>
      </c>
      <c r="S38" s="45" t="n">
        <v>0.064</v>
      </c>
      <c r="T38" s="45" t="n">
        <v>0.299</v>
      </c>
      <c r="U38" s="79" t="n">
        <v>0.194</v>
      </c>
    </row>
    <row r="39" customFormat="false" ht="15.75" hidden="false" customHeight="true" outlineLevel="0" collapsed="false">
      <c r="A39" s="68" t="s">
        <v>384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</row>
    <row r="40" customFormat="false" ht="15" hidden="false" customHeight="true" outlineLevel="0" collapsed="false">
      <c r="A40" s="69" t="s">
        <v>385</v>
      </c>
      <c r="B40" s="6" t="s">
        <v>386</v>
      </c>
      <c r="C40" s="47" t="n">
        <v>131.04</v>
      </c>
      <c r="D40" s="47" t="n">
        <v>14</v>
      </c>
      <c r="E40" s="47" t="n">
        <v>0.09</v>
      </c>
      <c r="F40" s="47" t="n">
        <v>0.08</v>
      </c>
      <c r="G40" s="47" t="n">
        <v>0.09</v>
      </c>
      <c r="H40" s="47" t="n">
        <v>0.07</v>
      </c>
      <c r="I40" s="47" t="n">
        <v>0.08</v>
      </c>
      <c r="J40" s="47" t="n">
        <v>0.09</v>
      </c>
      <c r="K40" s="47" t="n">
        <v>3.48</v>
      </c>
      <c r="L40" s="47" t="n">
        <v>1.05</v>
      </c>
      <c r="M40" s="47" t="n">
        <v>0.28</v>
      </c>
      <c r="N40" s="47" t="n">
        <v>1.58</v>
      </c>
      <c r="O40" s="47" t="n">
        <v>0.65</v>
      </c>
      <c r="P40" s="47" t="n">
        <v>0.13</v>
      </c>
      <c r="Q40" s="47" t="n">
        <v>0.11</v>
      </c>
      <c r="R40" s="47" t="n">
        <v>0.73</v>
      </c>
      <c r="S40" s="47" t="n">
        <v>7.24</v>
      </c>
      <c r="T40" s="47" t="n">
        <v>0.17</v>
      </c>
      <c r="U40" s="74" t="n">
        <v>160.96</v>
      </c>
    </row>
    <row r="41" customFormat="false" ht="15.75" hidden="false" customHeight="true" outlineLevel="0" collapsed="false">
      <c r="A41" s="68" t="s">
        <v>387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</row>
    <row r="42" customFormat="false" ht="15" hidden="false" customHeight="true" outlineLevel="0" collapsed="false">
      <c r="A42" s="69" t="s">
        <v>388</v>
      </c>
      <c r="B42" s="72" t="s">
        <v>389</v>
      </c>
      <c r="C42" s="78" t="n">
        <v>30216.99</v>
      </c>
      <c r="D42" s="78" t="n">
        <v>-89.41</v>
      </c>
      <c r="E42" s="78" t="n">
        <v>24.85</v>
      </c>
      <c r="F42" s="78" t="n">
        <v>18.6</v>
      </c>
      <c r="G42" s="78" t="n">
        <v>23.72</v>
      </c>
      <c r="H42" s="78" t="n">
        <v>10.65</v>
      </c>
      <c r="I42" s="78" t="n">
        <v>19.9</v>
      </c>
      <c r="J42" s="78" t="n">
        <v>7.24</v>
      </c>
      <c r="K42" s="78" t="n">
        <v>-456.61</v>
      </c>
      <c r="L42" s="78" t="n">
        <v>93.19</v>
      </c>
      <c r="M42" s="78" t="n">
        <v>41.33</v>
      </c>
      <c r="N42" s="78" t="n">
        <v>368.69</v>
      </c>
      <c r="O42" s="78" t="n">
        <v>205.86</v>
      </c>
      <c r="P42" s="78" t="n">
        <v>10.82</v>
      </c>
      <c r="Q42" s="78" t="n">
        <v>2.26</v>
      </c>
      <c r="R42" s="78" t="n">
        <v>34.47</v>
      </c>
      <c r="S42" s="78" t="n">
        <v>454.91</v>
      </c>
      <c r="T42" s="78" t="n">
        <v>50.03</v>
      </c>
      <c r="U42" s="78" t="n">
        <v>31037.48</v>
      </c>
    </row>
    <row r="43" customFormat="false" ht="15" hidden="false" customHeight="true" outlineLevel="0" collapsed="false">
      <c r="A43" s="69"/>
      <c r="B43" s="6" t="s">
        <v>390</v>
      </c>
      <c r="C43" s="47" t="n">
        <v>37.82</v>
      </c>
      <c r="D43" s="47" t="n">
        <v>-1.6</v>
      </c>
      <c r="E43" s="47" t="n">
        <v>24.85</v>
      </c>
      <c r="F43" s="47" t="n">
        <v>18.6</v>
      </c>
      <c r="G43" s="47" t="n">
        <v>23.72</v>
      </c>
      <c r="H43" s="47" t="n">
        <v>10.65</v>
      </c>
      <c r="I43" s="47" t="n">
        <v>19.9</v>
      </c>
      <c r="J43" s="47" t="n">
        <v>7.24</v>
      </c>
      <c r="K43" s="47" t="n">
        <v>-9.32</v>
      </c>
      <c r="L43" s="47" t="n">
        <v>6.21</v>
      </c>
      <c r="M43" s="47" t="n">
        <v>10.33</v>
      </c>
      <c r="N43" s="47" t="n">
        <v>20.48</v>
      </c>
      <c r="O43" s="47" t="n">
        <v>34.31</v>
      </c>
      <c r="P43" s="47" t="n">
        <v>10.82</v>
      </c>
      <c r="Q43" s="47" t="n">
        <v>2.26</v>
      </c>
      <c r="R43" s="47" t="n">
        <v>4.92</v>
      </c>
      <c r="S43" s="47" t="n">
        <v>6.41</v>
      </c>
      <c r="T43" s="47" t="n">
        <v>50.03</v>
      </c>
      <c r="U43" s="74" t="n">
        <v>30.02</v>
      </c>
    </row>
    <row r="44" customFormat="false" ht="15" hidden="false" customHeight="true" outlineLevel="0" collapsed="false">
      <c r="A44" s="69"/>
      <c r="B44" s="6" t="s">
        <v>391</v>
      </c>
      <c r="C44" s="45" t="n">
        <v>0.231</v>
      </c>
      <c r="D44" s="45" t="n">
        <v>-0.006</v>
      </c>
      <c r="E44" s="45" t="n">
        <v>0.286</v>
      </c>
      <c r="F44" s="45" t="n">
        <v>0.238</v>
      </c>
      <c r="G44" s="45" t="n">
        <v>0.279</v>
      </c>
      <c r="H44" s="45" t="n">
        <v>0.15</v>
      </c>
      <c r="I44" s="45" t="n">
        <v>0.24</v>
      </c>
      <c r="J44" s="45" t="n">
        <v>0.085</v>
      </c>
      <c r="K44" s="45" t="n">
        <v>-0.131</v>
      </c>
      <c r="L44" s="45" t="n">
        <v>0.089</v>
      </c>
      <c r="M44" s="45" t="n">
        <v>0.146</v>
      </c>
      <c r="N44" s="45" t="n">
        <v>0.233</v>
      </c>
      <c r="O44" s="45" t="n">
        <v>0.318</v>
      </c>
      <c r="P44" s="45" t="n">
        <v>0.083</v>
      </c>
      <c r="Q44" s="45" t="n">
        <v>0.021</v>
      </c>
      <c r="R44" s="45" t="n">
        <v>0.047</v>
      </c>
      <c r="S44" s="45" t="n">
        <v>0.063</v>
      </c>
      <c r="T44" s="45" t="n">
        <v>0.298</v>
      </c>
      <c r="U44" s="79" t="n">
        <v>0.193</v>
      </c>
    </row>
    <row r="45" customFormat="false" ht="15.75" hidden="false" customHeight="true" outlineLevel="0" collapsed="false">
      <c r="A45" s="68" t="s">
        <v>392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</row>
    <row r="46" customFormat="false" ht="15" hidden="false" customHeight="true" outlineLevel="0" collapsed="false">
      <c r="A46" s="69" t="s">
        <v>393</v>
      </c>
      <c r="B46" s="6" t="s">
        <v>394</v>
      </c>
      <c r="C46" s="47" t="n">
        <v>56.04</v>
      </c>
      <c r="D46" s="47" t="n">
        <v>26.18</v>
      </c>
      <c r="E46" s="47" t="n">
        <v>33.2</v>
      </c>
      <c r="F46" s="47" t="n">
        <v>27.27</v>
      </c>
      <c r="G46" s="47" t="n">
        <v>33.16</v>
      </c>
      <c r="H46" s="47" t="n">
        <v>18.54</v>
      </c>
      <c r="I46" s="47" t="n">
        <v>29.12</v>
      </c>
      <c r="J46" s="47" t="n">
        <v>16.68</v>
      </c>
      <c r="K46" s="47" t="n">
        <v>-1.43</v>
      </c>
      <c r="L46" s="47" t="n">
        <v>13.99</v>
      </c>
      <c r="M46" s="47" t="n">
        <v>18.22</v>
      </c>
      <c r="N46" s="47" t="n">
        <v>30.26</v>
      </c>
      <c r="O46" s="47" t="n">
        <v>46.31</v>
      </c>
      <c r="P46" s="47" t="n">
        <v>25.26</v>
      </c>
      <c r="Q46" s="47" t="n">
        <v>14.48</v>
      </c>
      <c r="R46" s="47" t="n">
        <v>16.59</v>
      </c>
      <c r="S46" s="47" t="n">
        <v>17.74</v>
      </c>
      <c r="T46" s="47" t="n">
        <v>68.7</v>
      </c>
      <c r="U46" s="74" t="n">
        <v>47.31</v>
      </c>
    </row>
    <row r="47" customFormat="false" ht="15" hidden="false" customHeight="true" outlineLevel="0" collapsed="false">
      <c r="A47" s="69"/>
      <c r="B47" s="6" t="s">
        <v>395</v>
      </c>
      <c r="C47" s="45" t="n">
        <v>0.342</v>
      </c>
      <c r="D47" s="45" t="n">
        <v>0.105</v>
      </c>
      <c r="E47" s="45" t="n">
        <v>0.382</v>
      </c>
      <c r="F47" s="45" t="n">
        <v>0.35</v>
      </c>
      <c r="G47" s="45" t="n">
        <v>0.39</v>
      </c>
      <c r="H47" s="45" t="n">
        <v>0.261</v>
      </c>
      <c r="I47" s="45" t="n">
        <v>0.351</v>
      </c>
      <c r="J47" s="45" t="n">
        <v>0.196</v>
      </c>
      <c r="K47" s="45" t="n">
        <v>-0.02</v>
      </c>
      <c r="L47" s="45" t="n">
        <v>0.2</v>
      </c>
      <c r="M47" s="45" t="n">
        <v>0.257</v>
      </c>
      <c r="N47" s="45" t="n">
        <v>0.344</v>
      </c>
      <c r="O47" s="45" t="n">
        <v>0.429</v>
      </c>
      <c r="P47" s="45" t="n">
        <v>0.194</v>
      </c>
      <c r="Q47" s="45" t="n">
        <v>0.132</v>
      </c>
      <c r="R47" s="45" t="n">
        <v>0.158</v>
      </c>
      <c r="S47" s="45" t="n">
        <v>0.174</v>
      </c>
      <c r="T47" s="45" t="n">
        <v>0.409</v>
      </c>
      <c r="U47" s="79" t="n">
        <v>0.304</v>
      </c>
    </row>
    <row r="48" customFormat="false" ht="15" hidden="false" customHeight="true" outlineLevel="0" collapsed="false">
      <c r="A48" s="69"/>
      <c r="B48" s="6" t="s">
        <v>396</v>
      </c>
      <c r="C48" s="80" t="n">
        <v>257.5</v>
      </c>
      <c r="D48" s="80" t="n">
        <v>58.9</v>
      </c>
      <c r="E48" s="80" t="n">
        <v>0.2</v>
      </c>
      <c r="F48" s="80" t="n">
        <v>0.3</v>
      </c>
      <c r="G48" s="80" t="n">
        <v>0.3</v>
      </c>
      <c r="H48" s="80" t="n">
        <v>0.4</v>
      </c>
      <c r="I48" s="80" t="n">
        <v>0.3</v>
      </c>
      <c r="J48" s="80" t="n">
        <v>0.6</v>
      </c>
      <c r="K48" s="80" t="s">
        <v>397</v>
      </c>
      <c r="L48" s="80" t="n">
        <v>8.3</v>
      </c>
      <c r="M48" s="80" t="n">
        <v>1.7</v>
      </c>
      <c r="N48" s="80" t="n">
        <v>5.8</v>
      </c>
      <c r="O48" s="80" t="n">
        <v>1.5</v>
      </c>
      <c r="P48" s="80" t="n">
        <v>0.6</v>
      </c>
      <c r="Q48" s="80" t="n">
        <v>0.8</v>
      </c>
      <c r="R48" s="80" t="n">
        <v>4.9</v>
      </c>
      <c r="S48" s="80" t="n">
        <v>44.9</v>
      </c>
      <c r="T48" s="80" t="n">
        <v>0.3</v>
      </c>
      <c r="U48" s="81"/>
    </row>
    <row r="49" customFormat="false" ht="15.75" hidden="false" customHeight="true" outlineLevel="0" collapsed="false">
      <c r="A49" s="68" t="s">
        <v>398</v>
      </c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</row>
    <row r="50" customFormat="false" ht="15" hidden="false" customHeight="true" outlineLevel="0" collapsed="false">
      <c r="A50" s="69" t="s">
        <v>399</v>
      </c>
      <c r="B50" s="6" t="s">
        <v>400</v>
      </c>
      <c r="C50" s="47" t="n">
        <v>164</v>
      </c>
      <c r="D50" s="47" t="n">
        <v>250</v>
      </c>
      <c r="E50" s="47" t="n">
        <v>87</v>
      </c>
      <c r="F50" s="47" t="n">
        <v>78</v>
      </c>
      <c r="G50" s="47" t="n">
        <v>85</v>
      </c>
      <c r="H50" s="47" t="n">
        <v>71</v>
      </c>
      <c r="I50" s="47" t="n">
        <v>83</v>
      </c>
      <c r="J50" s="47" t="n">
        <v>85</v>
      </c>
      <c r="K50" s="47" t="n">
        <v>71</v>
      </c>
      <c r="L50" s="47" t="n">
        <v>70</v>
      </c>
      <c r="M50" s="47" t="n">
        <v>71</v>
      </c>
      <c r="N50" s="47" t="n">
        <v>88</v>
      </c>
      <c r="O50" s="47" t="n">
        <v>108</v>
      </c>
      <c r="P50" s="47" t="n">
        <v>130</v>
      </c>
      <c r="Q50" s="47" t="n">
        <v>110</v>
      </c>
      <c r="R50" s="47" t="n">
        <v>105</v>
      </c>
      <c r="S50" s="47" t="n">
        <v>102</v>
      </c>
      <c r="T50" s="47" t="n">
        <v>168</v>
      </c>
      <c r="U50" s="74"/>
    </row>
    <row r="51" customFormat="false" ht="15" hidden="false" customHeight="true" outlineLevel="0" collapsed="false">
      <c r="A51" s="69"/>
      <c r="B51" s="6" t="s">
        <v>401</v>
      </c>
      <c r="C51" s="47" t="n">
        <v>151.58</v>
      </c>
      <c r="D51" s="47" t="n">
        <v>233.09</v>
      </c>
      <c r="E51" s="47" t="n">
        <v>77.91</v>
      </c>
      <c r="F51" s="47" t="n">
        <v>68.88</v>
      </c>
      <c r="G51" s="47" t="n">
        <v>75.8</v>
      </c>
      <c r="H51" s="47" t="n">
        <v>61.96</v>
      </c>
      <c r="I51" s="47" t="n">
        <v>73.83</v>
      </c>
      <c r="J51" s="47" t="n">
        <v>75.8</v>
      </c>
      <c r="K51" s="47" t="n">
        <v>60.78</v>
      </c>
      <c r="L51" s="47" t="n">
        <v>59.79</v>
      </c>
      <c r="M51" s="47" t="n">
        <v>61.96</v>
      </c>
      <c r="N51" s="47" t="n">
        <v>77.59</v>
      </c>
      <c r="O51" s="47" t="n">
        <v>96.19</v>
      </c>
      <c r="P51" s="47" t="n">
        <v>119.13</v>
      </c>
      <c r="Q51" s="47" t="n">
        <v>99.35</v>
      </c>
      <c r="R51" s="47" t="n">
        <v>93.22</v>
      </c>
      <c r="S51" s="47" t="n">
        <v>90.26</v>
      </c>
      <c r="T51" s="47" t="n">
        <v>216.53</v>
      </c>
      <c r="U51" s="74" t="n">
        <v>143.32</v>
      </c>
    </row>
    <row r="52" customFormat="false" ht="15" hidden="false" customHeight="true" outlineLevel="0" collapsed="false">
      <c r="A52" s="69"/>
      <c r="B52" s="6" t="s">
        <v>402</v>
      </c>
      <c r="C52" s="42" t="n">
        <v>121112</v>
      </c>
      <c r="D52" s="42" t="n">
        <v>13053</v>
      </c>
      <c r="E52" s="42" t="n">
        <v>78</v>
      </c>
      <c r="F52" s="42" t="n">
        <v>69</v>
      </c>
      <c r="G52" s="42" t="n">
        <v>76</v>
      </c>
      <c r="H52" s="42" t="n">
        <v>62</v>
      </c>
      <c r="I52" s="42" t="n">
        <v>74</v>
      </c>
      <c r="J52" s="42" t="n">
        <v>76</v>
      </c>
      <c r="K52" s="42" t="n">
        <v>2978</v>
      </c>
      <c r="L52" s="42" t="n">
        <v>897</v>
      </c>
      <c r="M52" s="42" t="n">
        <v>248</v>
      </c>
      <c r="N52" s="42" t="n">
        <v>1397</v>
      </c>
      <c r="O52" s="42" t="n">
        <v>577</v>
      </c>
      <c r="P52" s="42" t="n">
        <v>119</v>
      </c>
      <c r="Q52" s="42" t="n">
        <v>99</v>
      </c>
      <c r="R52" s="42" t="n">
        <v>653</v>
      </c>
      <c r="S52" s="42" t="n">
        <v>6408</v>
      </c>
      <c r="T52" s="42" t="n">
        <v>217</v>
      </c>
      <c r="U52" s="75" t="n">
        <v>148192</v>
      </c>
    </row>
    <row r="53" customFormat="false" ht="15" hidden="false" customHeight="true" outlineLevel="0" collapsed="false">
      <c r="A53" s="69"/>
      <c r="B53" s="6" t="s">
        <v>403</v>
      </c>
      <c r="C53" s="45" t="n">
        <v>0.924</v>
      </c>
      <c r="D53" s="45" t="n">
        <v>0.932</v>
      </c>
      <c r="E53" s="45" t="n">
        <v>0.896</v>
      </c>
      <c r="F53" s="45" t="n">
        <v>0.883</v>
      </c>
      <c r="G53" s="45" t="n">
        <v>0.892</v>
      </c>
      <c r="H53" s="45" t="n">
        <v>0.873</v>
      </c>
      <c r="I53" s="45" t="n">
        <v>0.89</v>
      </c>
      <c r="J53" s="45" t="n">
        <v>0.892</v>
      </c>
      <c r="K53" s="45" t="n">
        <v>0.856</v>
      </c>
      <c r="L53" s="45" t="n">
        <v>0.854</v>
      </c>
      <c r="M53" s="45" t="n">
        <v>0.873</v>
      </c>
      <c r="N53" s="45" t="n">
        <v>0.882</v>
      </c>
      <c r="O53" s="45" t="n">
        <v>0.891</v>
      </c>
      <c r="P53" s="45" t="n">
        <v>0.916</v>
      </c>
      <c r="Q53" s="45" t="n">
        <v>0.903</v>
      </c>
      <c r="R53" s="45" t="n">
        <v>0.888</v>
      </c>
      <c r="S53" s="45" t="n">
        <v>0.885</v>
      </c>
      <c r="T53" s="45" t="n">
        <v>1.289</v>
      </c>
      <c r="U53" s="79" t="n">
        <v>0.921</v>
      </c>
    </row>
    <row r="54" customFormat="false" ht="15.75" hidden="false" customHeight="true" outlineLevel="0" collapsed="false">
      <c r="A54" s="68" t="s">
        <v>404</v>
      </c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</row>
    <row r="55" customFormat="false" ht="15" hidden="false" customHeight="true" outlineLevel="0" collapsed="false">
      <c r="A55" s="69" t="s">
        <v>405</v>
      </c>
      <c r="B55" s="6" t="s">
        <v>406</v>
      </c>
      <c r="C55" s="42" t="n">
        <v>293410</v>
      </c>
      <c r="D55" s="42" t="n">
        <v>31348</v>
      </c>
      <c r="E55" s="42" t="n">
        <v>168</v>
      </c>
      <c r="F55" s="42" t="n">
        <v>175</v>
      </c>
      <c r="G55" s="42" t="n">
        <v>190</v>
      </c>
      <c r="H55" s="42" t="n">
        <v>159</v>
      </c>
      <c r="I55" s="42" t="n">
        <v>186</v>
      </c>
      <c r="J55" s="42" t="n">
        <v>190</v>
      </c>
      <c r="K55" s="42" t="n">
        <v>7790</v>
      </c>
      <c r="L55" s="42" t="n">
        <v>2351</v>
      </c>
      <c r="M55" s="42" t="n">
        <v>636</v>
      </c>
      <c r="N55" s="42" t="n">
        <v>3547</v>
      </c>
      <c r="O55" s="42" t="n">
        <v>1451</v>
      </c>
      <c r="P55" s="42" t="n">
        <v>291</v>
      </c>
      <c r="Q55" s="42" t="n">
        <v>246</v>
      </c>
      <c r="R55" s="42" t="n">
        <v>1646</v>
      </c>
      <c r="S55" s="42" t="n">
        <v>16216</v>
      </c>
      <c r="T55" s="42" t="n">
        <v>0</v>
      </c>
      <c r="U55" s="75" t="n">
        <v>360000</v>
      </c>
    </row>
    <row r="56" customFormat="false" ht="15.75" hidden="false" customHeight="true" outlineLevel="0" collapsed="false">
      <c r="A56" s="68" t="s">
        <v>407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</row>
    <row r="57" customFormat="false" ht="15" hidden="false" customHeight="true" outlineLevel="0" collapsed="false">
      <c r="A57" s="69" t="s">
        <v>408</v>
      </c>
      <c r="B57" s="72" t="s">
        <v>409</v>
      </c>
      <c r="C57" s="78" t="n">
        <v>-263192.81</v>
      </c>
      <c r="D57" s="78" t="n">
        <v>-31437.57</v>
      </c>
      <c r="E57" s="78" t="n">
        <v>-143.09</v>
      </c>
      <c r="F57" s="78" t="n">
        <v>-156.05</v>
      </c>
      <c r="G57" s="78" t="n">
        <v>-166.62</v>
      </c>
      <c r="H57" s="78" t="n">
        <v>-148.33</v>
      </c>
      <c r="I57" s="78" t="n">
        <v>-165.95</v>
      </c>
      <c r="J57" s="78" t="n">
        <v>-183.09</v>
      </c>
      <c r="K57" s="78" t="n">
        <v>-8246.63</v>
      </c>
      <c r="L57" s="78" t="n">
        <v>-2257.92</v>
      </c>
      <c r="M57" s="78" t="n">
        <v>-594.59</v>
      </c>
      <c r="N57" s="78" t="n">
        <v>-3178.13</v>
      </c>
      <c r="O57" s="78" t="n">
        <v>-1245.11</v>
      </c>
      <c r="P57" s="78" t="n">
        <v>-280.27</v>
      </c>
      <c r="Q57" s="78" t="n">
        <v>-244.05</v>
      </c>
      <c r="R57" s="78" t="n">
        <v>-1611.31</v>
      </c>
      <c r="S57" s="78" t="n">
        <v>-15761.04</v>
      </c>
      <c r="T57" s="78" t="n">
        <v>50.03</v>
      </c>
      <c r="U57" s="78" t="n">
        <v>-328962.53</v>
      </c>
    </row>
    <row r="58" customFormat="false" ht="15" hidden="false" customHeight="true" outlineLevel="0" collapsed="false">
      <c r="A58" s="69"/>
      <c r="B58" s="6" t="s">
        <v>410</v>
      </c>
      <c r="C58" s="45" t="n">
        <v>-2.009</v>
      </c>
      <c r="D58" s="45" t="n">
        <v>-2.246</v>
      </c>
      <c r="E58" s="45" t="n">
        <v>-1.645</v>
      </c>
      <c r="F58" s="45" t="n">
        <v>-2.001</v>
      </c>
      <c r="G58" s="45" t="n">
        <v>-1.96</v>
      </c>
      <c r="H58" s="45" t="n">
        <v>-2.089</v>
      </c>
      <c r="I58" s="45" t="n">
        <v>-1.999</v>
      </c>
      <c r="J58" s="45" t="n">
        <v>-2.154</v>
      </c>
      <c r="K58" s="45" t="n">
        <v>-2.37</v>
      </c>
      <c r="L58" s="45" t="n">
        <v>-2.15</v>
      </c>
      <c r="M58" s="45" t="n">
        <v>-2.094</v>
      </c>
      <c r="N58" s="45" t="n">
        <v>-2.006</v>
      </c>
      <c r="O58" s="45" t="n">
        <v>-1.921</v>
      </c>
      <c r="P58" s="45" t="n">
        <v>-2.156</v>
      </c>
      <c r="Q58" s="45" t="n">
        <v>-2.219</v>
      </c>
      <c r="R58" s="45" t="n">
        <v>-2.192</v>
      </c>
      <c r="S58" s="45" t="n">
        <v>-2.176</v>
      </c>
      <c r="T58" s="45" t="n">
        <v>0.298</v>
      </c>
      <c r="U58" s="79" t="n">
        <v>-2.044</v>
      </c>
    </row>
  </sheetData>
  <mergeCells count="14">
    <mergeCell ref="A1:V1"/>
    <mergeCell ref="A2:V2"/>
    <mergeCell ref="A6:U6"/>
    <mergeCell ref="A11:U11"/>
    <mergeCell ref="A17:U17"/>
    <mergeCell ref="A20:U20"/>
    <mergeCell ref="A24:U24"/>
    <mergeCell ref="A35:U35"/>
    <mergeCell ref="A39:U39"/>
    <mergeCell ref="A41:U41"/>
    <mergeCell ref="A45:U45"/>
    <mergeCell ref="A49:U49"/>
    <mergeCell ref="A54:U54"/>
    <mergeCell ref="A56:U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8"/>
    <col collapsed="false" customWidth="true" hidden="false" outlineLevel="0" max="6" min="4" style="0" width="14"/>
    <col collapsed="false" customWidth="true" hidden="false" outlineLevel="0" max="7" min="7" style="0" width="2"/>
    <col collapsed="false" customWidth="true" hidden="false" outlineLevel="0" max="8" min="8" style="0" width="30"/>
    <col collapsed="false" customWidth="true" hidden="false" outlineLevel="0" max="10" min="9" style="0" width="18"/>
    <col collapsed="false" customWidth="true" hidden="false" outlineLevel="0" max="13" min="11" style="0" width="14"/>
  </cols>
  <sheetData>
    <row r="1" customFormat="false" ht="16.15" hidden="false" customHeight="true" outlineLevel="0" collapsed="false">
      <c r="A1" s="10" t="s">
        <v>411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customFormat="false" ht="15" hidden="false" customHeight="false" outlineLevel="0" collapsed="false">
      <c r="A2" s="82" t="s">
        <v>412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</row>
    <row r="3" customFormat="false" ht="15" hidden="false" customHeight="false" outlineLevel="0" collapsed="false">
      <c r="A3" s="83" t="str">
        <f aca="false">" Reporting Month: "&amp;CHOOSE('⚙ Config &amp; Assumptions'!B41,"April","May","June","July","August","September","October","November","December","January","February","March")&amp;"  |  FY 2026-27"</f>
        <v> Reporting Month: April  |  FY 2026-27</v>
      </c>
      <c r="B3" s="83"/>
      <c r="C3" s="83"/>
      <c r="D3" s="83"/>
      <c r="E3" s="83"/>
      <c r="F3" s="83"/>
      <c r="H3" s="84" t="s">
        <v>413</v>
      </c>
      <c r="I3" s="84"/>
      <c r="J3" s="84"/>
      <c r="K3" s="84"/>
      <c r="L3" s="84"/>
      <c r="M3" s="84"/>
    </row>
    <row r="4" customFormat="false" ht="19.5" hidden="false" customHeight="true" outlineLevel="0" collapsed="false">
      <c r="A4" s="85" t="s">
        <v>271</v>
      </c>
      <c r="B4" s="85" t="s">
        <v>414</v>
      </c>
      <c r="C4" s="86" t="s">
        <v>415</v>
      </c>
      <c r="D4" s="87" t="s">
        <v>416</v>
      </c>
      <c r="E4" s="87" t="s">
        <v>417</v>
      </c>
      <c r="F4" s="87" t="s">
        <v>418</v>
      </c>
      <c r="H4" s="85" t="s">
        <v>271</v>
      </c>
      <c r="I4" s="85" t="s">
        <v>414</v>
      </c>
      <c r="J4" s="86" t="s">
        <v>415</v>
      </c>
      <c r="K4" s="87" t="s">
        <v>416</v>
      </c>
      <c r="L4" s="87" t="s">
        <v>417</v>
      </c>
      <c r="M4" s="87" t="s">
        <v>418</v>
      </c>
    </row>
    <row r="5" customFormat="false" ht="16.5" hidden="false" customHeight="true" outlineLevel="0" collapsed="false">
      <c r="A5" s="13" t="s">
        <v>29</v>
      </c>
      <c r="B5" s="48" t="n">
        <f aca="false">'📅 Monthly PvA'!AX10</f>
        <v>72</v>
      </c>
      <c r="C5" s="88" t="str">
        <f aca="false">'📅 Monthly PvA'!AY10</f>
        <v/>
      </c>
      <c r="D5" s="48" t="str">
        <f aca="false">'📅 Monthly PvA'!AZ10</f>
        <v/>
      </c>
      <c r="E5" s="45" t="str">
        <f aca="false">'📅 Monthly PvA'!BA10</f>
        <v/>
      </c>
      <c r="F5" s="89" t="str">
        <f aca="false">IF('📅 Monthly PvA'!BA10="","—",IF('📅 Monthly PvA'!BA10&gt;='⚙ Config &amp; Assumptions'!B42,"✔ On/Above",IF('📅 Monthly PvA'!BA10&lt;='⚙ Config &amp; Assumptions'!B43,"✘ Below","~ Near")))</f>
        <v>—</v>
      </c>
      <c r="H5" s="13" t="s">
        <v>29</v>
      </c>
      <c r="I5" s="48" t="n">
        <f aca="false">'📅 Monthly PvA'!BB10</f>
        <v>72</v>
      </c>
      <c r="J5" s="88" t="n">
        <f aca="false">'📅 Monthly PvA'!BC10</f>
        <v>0</v>
      </c>
      <c r="K5" s="48" t="str">
        <f aca="false">'📅 Monthly PvA'!BD10</f>
        <v/>
      </c>
      <c r="L5" s="45" t="str">
        <f aca="false">'📅 Monthly PvA'!BE10</f>
        <v/>
      </c>
      <c r="M5" s="90" t="str">
        <f aca="false">IF('📅 Monthly PvA'!BE10="","—",IF('📅 Monthly PvA'!BE10&gt;='⚙ Config &amp; Assumptions'!B42,"✔ On/Above",IF('📅 Monthly PvA'!BE10&lt;='⚙ Config &amp; Assumptions'!B43,"✘ Below","~ Near")))</f>
        <v>—</v>
      </c>
    </row>
    <row r="6" customFormat="false" ht="16.5" hidden="false" customHeight="true" outlineLevel="0" collapsed="false">
      <c r="A6" s="8" t="s">
        <v>241</v>
      </c>
      <c r="B6" s="91" t="n">
        <f aca="false">'📅 Monthly PvA'!AX14</f>
        <v>11265</v>
      </c>
      <c r="C6" s="92" t="str">
        <f aca="false">'📅 Monthly PvA'!AY14</f>
        <v/>
      </c>
      <c r="D6" s="91" t="str">
        <f aca="false">'📅 Monthly PvA'!AZ14</f>
        <v/>
      </c>
      <c r="E6" s="45" t="str">
        <f aca="false">'📅 Monthly PvA'!BA14</f>
        <v/>
      </c>
      <c r="F6" s="89" t="str">
        <f aca="false">IF('📅 Monthly PvA'!BA14="","—",IF('📅 Monthly PvA'!BA14&gt;='⚙ Config &amp; Assumptions'!B42,"✔ On/Above",IF('📅 Monthly PvA'!BA14&lt;='⚙ Config &amp; Assumptions'!B43,"✘ Below","~ Near")))</f>
        <v>—</v>
      </c>
      <c r="H6" s="8" t="s">
        <v>241</v>
      </c>
      <c r="I6" s="91" t="n">
        <f aca="false">'📅 Monthly PvA'!BB14</f>
        <v>11265</v>
      </c>
      <c r="J6" s="92" t="n">
        <f aca="false">'📅 Monthly PvA'!BC14</f>
        <v>0</v>
      </c>
      <c r="K6" s="91" t="str">
        <f aca="false">'📅 Monthly PvA'!BD14</f>
        <v/>
      </c>
      <c r="L6" s="45" t="str">
        <f aca="false">'📅 Monthly PvA'!BE14</f>
        <v/>
      </c>
      <c r="M6" s="90" t="str">
        <f aca="false">IF('📅 Monthly PvA'!BE14="","—",IF('📅 Monthly PvA'!BE14&gt;='⚙ Config &amp; Assumptions'!B42,"✔ On/Above",IF('📅 Monthly PvA'!BE14&lt;='⚙ Config &amp; Assumptions'!B43,"✘ Below","~ Near")))</f>
        <v>—</v>
      </c>
    </row>
    <row r="7" customFormat="false" ht="16.5" hidden="false" customHeight="true" outlineLevel="0" collapsed="false">
      <c r="A7" s="13" t="s">
        <v>299</v>
      </c>
      <c r="B7" s="91" t="n">
        <f aca="false">'📅 Monthly PvA'!AX16</f>
        <v>6633</v>
      </c>
      <c r="C7" s="92" t="str">
        <f aca="false">'📅 Monthly PvA'!AY16</f>
        <v/>
      </c>
      <c r="D7" s="91" t="str">
        <f aca="false">'📅 Monthly PvA'!AZ16</f>
        <v/>
      </c>
      <c r="E7" s="45" t="str">
        <f aca="false">'📅 Monthly PvA'!BA16</f>
        <v/>
      </c>
      <c r="F7" s="89" t="str">
        <f aca="false">IF('📅 Monthly PvA'!BA16="","—",IF('📅 Monthly PvA'!BA16&gt;='⚙ Config &amp; Assumptions'!B42,"✔ On/Above",IF('📅 Monthly PvA'!BA16&lt;='⚙ Config &amp; Assumptions'!B43,"✘ Below","~ Near")))</f>
        <v>—</v>
      </c>
      <c r="H7" s="13" t="s">
        <v>299</v>
      </c>
      <c r="I7" s="91" t="n">
        <f aca="false">'📅 Monthly PvA'!BB16</f>
        <v>6633</v>
      </c>
      <c r="J7" s="92" t="n">
        <f aca="false">'📅 Monthly PvA'!BC16</f>
        <v>0</v>
      </c>
      <c r="K7" s="91" t="str">
        <f aca="false">'📅 Monthly PvA'!BD16</f>
        <v/>
      </c>
      <c r="L7" s="45" t="str">
        <f aca="false">'📅 Monthly PvA'!BE16</f>
        <v/>
      </c>
      <c r="M7" s="90" t="str">
        <f aca="false">IF('📅 Monthly PvA'!BE16="","—",IF('📅 Monthly PvA'!BE16&gt;='⚙ Config &amp; Assumptions'!B42,"✔ On/Above",IF('📅 Monthly PvA'!BE16&lt;='⚙ Config &amp; Assumptions'!B43,"✘ Below","~ Near")))</f>
        <v>—</v>
      </c>
    </row>
    <row r="8" customFormat="false" ht="16.5" hidden="false" customHeight="true" outlineLevel="0" collapsed="false">
      <c r="A8" s="8" t="s">
        <v>254</v>
      </c>
      <c r="B8" s="91" t="n">
        <f aca="false">'📅 Monthly PvA'!AX18</f>
        <v>4631</v>
      </c>
      <c r="C8" s="92" t="str">
        <f aca="false">'📅 Monthly PvA'!AY18</f>
        <v/>
      </c>
      <c r="D8" s="91" t="str">
        <f aca="false">'📅 Monthly PvA'!AZ18</f>
        <v/>
      </c>
      <c r="E8" s="45" t="str">
        <f aca="false">'📅 Monthly PvA'!BA18</f>
        <v/>
      </c>
      <c r="F8" s="89" t="str">
        <f aca="false">IF('📅 Monthly PvA'!BA18="","—",IF('📅 Monthly PvA'!BA18&gt;='⚙ Config &amp; Assumptions'!B42,"✔ On/Above",IF('📅 Monthly PvA'!BA18&lt;='⚙ Config &amp; Assumptions'!B43,"✘ Below","~ Near")))</f>
        <v>—</v>
      </c>
      <c r="H8" s="8" t="s">
        <v>254</v>
      </c>
      <c r="I8" s="91" t="n">
        <f aca="false">'📅 Monthly PvA'!BB18</f>
        <v>4631</v>
      </c>
      <c r="J8" s="92" t="n">
        <f aca="false">'📅 Monthly PvA'!BC18</f>
        <v>0</v>
      </c>
      <c r="K8" s="91" t="str">
        <f aca="false">'📅 Monthly PvA'!BD18</f>
        <v/>
      </c>
      <c r="L8" s="45" t="str">
        <f aca="false">'📅 Monthly PvA'!BE18</f>
        <v/>
      </c>
      <c r="M8" s="90" t="str">
        <f aca="false">IF('📅 Monthly PvA'!BE18="","—",IF('📅 Monthly PvA'!BE18&gt;='⚙ Config &amp; Assumptions'!B42,"✔ On/Above",IF('📅 Monthly PvA'!BE18&lt;='⚙ Config &amp; Assumptions'!B43,"✘ Below","~ Near")))</f>
        <v>—</v>
      </c>
    </row>
    <row r="9" customFormat="false" ht="16.5" hidden="false" customHeight="true" outlineLevel="0" collapsed="false">
      <c r="A9" s="8" t="s">
        <v>255</v>
      </c>
      <c r="B9" s="45" t="n">
        <f aca="false">'📅 Monthly PvA'!AX19</f>
        <v>0.41109631602308</v>
      </c>
      <c r="C9" s="93" t="str">
        <f aca="false">'📅 Monthly PvA'!AY19</f>
        <v/>
      </c>
      <c r="D9" s="45" t="str">
        <f aca="false">'📅 Monthly PvA'!AZ19</f>
        <v/>
      </c>
      <c r="E9" s="45" t="str">
        <f aca="false">'📅 Monthly PvA'!BA19</f>
        <v/>
      </c>
      <c r="F9" s="89" t="str">
        <f aca="false">IF('📅 Monthly PvA'!BA19="","—",IF('📅 Monthly PvA'!BA19&gt;='⚙ Config &amp; Assumptions'!B42,"✔ On/Above",IF('📅 Monthly PvA'!BA19&lt;='⚙ Config &amp; Assumptions'!B43,"✘ Below","~ Near")))</f>
        <v>—</v>
      </c>
      <c r="H9" s="8" t="s">
        <v>255</v>
      </c>
      <c r="I9" s="45" t="n">
        <f aca="false">'📅 Monthly PvA'!BB19</f>
        <v>0.41109631602308</v>
      </c>
      <c r="J9" s="93" t="n">
        <f aca="false">'📅 Monthly PvA'!BC19</f>
        <v>0</v>
      </c>
      <c r="K9" s="45" t="str">
        <f aca="false">'📅 Monthly PvA'!BD19</f>
        <v/>
      </c>
      <c r="L9" s="45" t="str">
        <f aca="false">'📅 Monthly PvA'!BE19</f>
        <v/>
      </c>
      <c r="M9" s="90" t="str">
        <f aca="false">IF('📅 Monthly PvA'!BE19="","—",IF('📅 Monthly PvA'!BE19&gt;='⚙ Config &amp; Assumptions'!B42,"✔ On/Above",IF('📅 Monthly PvA'!BE19&lt;='⚙ Config &amp; Assumptions'!B43,"✘ Below","~ Near")))</f>
        <v>—</v>
      </c>
    </row>
    <row r="10" customFormat="false" ht="16.5" hidden="false" customHeight="true" outlineLevel="0" collapsed="false">
      <c r="A10" s="13" t="s">
        <v>252</v>
      </c>
      <c r="B10" s="91" t="n">
        <f aca="false">'📅 Monthly PvA'!AX23</f>
        <v>1475</v>
      </c>
      <c r="C10" s="92" t="str">
        <f aca="false">'📅 Monthly PvA'!AY23</f>
        <v/>
      </c>
      <c r="D10" s="91" t="str">
        <f aca="false">'📅 Monthly PvA'!AZ23</f>
        <v/>
      </c>
      <c r="E10" s="45" t="str">
        <f aca="false">'📅 Monthly PvA'!BA23</f>
        <v/>
      </c>
      <c r="F10" s="89" t="str">
        <f aca="false">IF('📅 Monthly PvA'!BA23="","—",IF('📅 Monthly PvA'!BA23&gt;='⚙ Config &amp; Assumptions'!B42,"✔ On/Above",IF('📅 Monthly PvA'!BA23&lt;='⚙ Config &amp; Assumptions'!B43,"✘ Below","~ Near")))</f>
        <v>—</v>
      </c>
      <c r="H10" s="13" t="s">
        <v>252</v>
      </c>
      <c r="I10" s="91" t="n">
        <f aca="false">'📅 Monthly PvA'!BB23</f>
        <v>1475</v>
      </c>
      <c r="J10" s="92" t="n">
        <f aca="false">'📅 Monthly PvA'!BC23</f>
        <v>0</v>
      </c>
      <c r="K10" s="91" t="str">
        <f aca="false">'📅 Monthly PvA'!BD23</f>
        <v/>
      </c>
      <c r="L10" s="45" t="str">
        <f aca="false">'📅 Monthly PvA'!BE23</f>
        <v/>
      </c>
      <c r="M10" s="90" t="str">
        <f aca="false">IF('📅 Monthly PvA'!BE23="","—",IF('📅 Monthly PvA'!BE23&gt;='⚙ Config &amp; Assumptions'!B42,"✔ On/Above",IF('📅 Monthly PvA'!BE23&lt;='⚙ Config &amp; Assumptions'!B43,"✘ Below","~ Near")))</f>
        <v>—</v>
      </c>
    </row>
    <row r="11" customFormat="false" ht="16.5" hidden="false" customHeight="true" outlineLevel="0" collapsed="false">
      <c r="A11" s="8" t="s">
        <v>419</v>
      </c>
      <c r="B11" s="91" t="n">
        <f aca="false">'📅 Monthly PvA'!AX27</f>
        <v>1946</v>
      </c>
      <c r="C11" s="92" t="str">
        <f aca="false">'📅 Monthly PvA'!AY27</f>
        <v/>
      </c>
      <c r="D11" s="91" t="str">
        <f aca="false">'📅 Monthly PvA'!AZ27</f>
        <v/>
      </c>
      <c r="E11" s="45" t="str">
        <f aca="false">'📅 Monthly PvA'!BA27</f>
        <v/>
      </c>
      <c r="F11" s="89" t="str">
        <f aca="false">IF('📅 Monthly PvA'!BA27="","—",IF('📅 Monthly PvA'!BA27&gt;='⚙ Config &amp; Assumptions'!B42,"✔ On/Above",IF('📅 Monthly PvA'!BA27&lt;='⚙ Config &amp; Assumptions'!B43,"✘ Below","~ Near")))</f>
        <v>—</v>
      </c>
      <c r="H11" s="8" t="s">
        <v>419</v>
      </c>
      <c r="I11" s="91" t="n">
        <f aca="false">'📅 Monthly PvA'!BB27</f>
        <v>1946</v>
      </c>
      <c r="J11" s="92" t="n">
        <f aca="false">'📅 Monthly PvA'!BC27</f>
        <v>0</v>
      </c>
      <c r="K11" s="91" t="str">
        <f aca="false">'📅 Monthly PvA'!BD27</f>
        <v/>
      </c>
      <c r="L11" s="45" t="str">
        <f aca="false">'📅 Monthly PvA'!BE27</f>
        <v/>
      </c>
      <c r="M11" s="90" t="str">
        <f aca="false">IF('📅 Monthly PvA'!BE27="","—",IF('📅 Monthly PvA'!BE27&gt;='⚙ Config &amp; Assumptions'!B42,"✔ On/Above",IF('📅 Monthly PvA'!BE27&lt;='⚙ Config &amp; Assumptions'!B43,"✘ Below","~ Near")))</f>
        <v>—</v>
      </c>
    </row>
    <row r="12" customFormat="false" ht="16.5" hidden="false" customHeight="true" outlineLevel="0" collapsed="false">
      <c r="A12" s="8" t="s">
        <v>258</v>
      </c>
      <c r="B12" s="45" t="n">
        <f aca="false">'📅 Monthly PvA'!AX28</f>
        <v>0.172747447847315</v>
      </c>
      <c r="C12" s="93" t="str">
        <f aca="false">'📅 Monthly PvA'!AY28</f>
        <v/>
      </c>
      <c r="D12" s="45" t="str">
        <f aca="false">'📅 Monthly PvA'!AZ28</f>
        <v/>
      </c>
      <c r="E12" s="45" t="str">
        <f aca="false">'📅 Monthly PvA'!BA28</f>
        <v/>
      </c>
      <c r="F12" s="89" t="str">
        <f aca="false">IF('📅 Monthly PvA'!BA28="","—",IF('📅 Monthly PvA'!BA28&gt;='⚙ Config &amp; Assumptions'!B42,"✔ On/Above",IF('📅 Monthly PvA'!BA28&lt;='⚙ Config &amp; Assumptions'!B43,"✘ Below","~ Near")))</f>
        <v>—</v>
      </c>
      <c r="H12" s="8" t="s">
        <v>258</v>
      </c>
      <c r="I12" s="45" t="n">
        <f aca="false">'📅 Monthly PvA'!BB28</f>
        <v>0.172747447847315</v>
      </c>
      <c r="J12" s="93" t="n">
        <f aca="false">'📅 Monthly PvA'!BC28</f>
        <v>0</v>
      </c>
      <c r="K12" s="45" t="str">
        <f aca="false">'📅 Monthly PvA'!BD28</f>
        <v/>
      </c>
      <c r="L12" s="45" t="str">
        <f aca="false">'📅 Monthly PvA'!BE28</f>
        <v/>
      </c>
      <c r="M12" s="90" t="str">
        <f aca="false">IF('📅 Monthly PvA'!BE28="","—",IF('📅 Monthly PvA'!BE28&gt;='⚙ Config &amp; Assumptions'!B42,"✔ On/Above",IF('📅 Monthly PvA'!BE28&lt;='⚙ Config &amp; Assumptions'!B43,"✘ Below","~ Near")))</f>
        <v>—</v>
      </c>
    </row>
    <row r="13" customFormat="false" ht="16.5" hidden="false" customHeight="true" outlineLevel="0" collapsed="false">
      <c r="A13" s="8" t="s">
        <v>420</v>
      </c>
      <c r="B13" s="91" t="n">
        <f aca="false">'📅 Monthly PvA'!AX32</f>
        <v>1935</v>
      </c>
      <c r="C13" s="92" t="str">
        <f aca="false">'📅 Monthly PvA'!AY32</f>
        <v/>
      </c>
      <c r="D13" s="91" t="str">
        <f aca="false">'📅 Monthly PvA'!AZ32</f>
        <v/>
      </c>
      <c r="E13" s="45" t="str">
        <f aca="false">'📅 Monthly PvA'!BA32</f>
        <v/>
      </c>
      <c r="F13" s="89" t="str">
        <f aca="false">IF('📅 Monthly PvA'!BA32="","—",IF('📅 Monthly PvA'!BA32&gt;='⚙ Config &amp; Assumptions'!B42,"✔ On/Above",IF('📅 Monthly PvA'!BA32&lt;='⚙ Config &amp; Assumptions'!B43,"✘ Below","~ Near")))</f>
        <v>—</v>
      </c>
      <c r="H13" s="8" t="s">
        <v>420</v>
      </c>
      <c r="I13" s="91" t="n">
        <f aca="false">'📅 Monthly PvA'!BB32</f>
        <v>1935</v>
      </c>
      <c r="J13" s="92" t="n">
        <f aca="false">'📅 Monthly PvA'!BC32</f>
        <v>0</v>
      </c>
      <c r="K13" s="91" t="str">
        <f aca="false">'📅 Monthly PvA'!BD32</f>
        <v/>
      </c>
      <c r="L13" s="45" t="str">
        <f aca="false">'📅 Monthly PvA'!BE32</f>
        <v/>
      </c>
      <c r="M13" s="90" t="str">
        <f aca="false">IF('📅 Monthly PvA'!BE32="","—",IF('📅 Monthly PvA'!BE32&gt;='⚙ Config &amp; Assumptions'!B42,"✔ On/Above",IF('📅 Monthly PvA'!BE32&lt;='⚙ Config &amp; Assumptions'!B43,"✘ Below","~ Near")))</f>
        <v>—</v>
      </c>
    </row>
    <row r="14" customFormat="false" ht="16.5" hidden="false" customHeight="true" outlineLevel="0" collapsed="false">
      <c r="A14" s="8" t="s">
        <v>260</v>
      </c>
      <c r="B14" s="45" t="n">
        <f aca="false">'📅 Monthly PvA'!AX33</f>
        <v>0.171770972037284</v>
      </c>
      <c r="C14" s="93" t="str">
        <f aca="false">'📅 Monthly PvA'!AY33</f>
        <v/>
      </c>
      <c r="D14" s="45" t="str">
        <f aca="false">'📅 Monthly PvA'!AZ33</f>
        <v/>
      </c>
      <c r="E14" s="45" t="str">
        <f aca="false">'📅 Monthly PvA'!BA33</f>
        <v/>
      </c>
      <c r="F14" s="89" t="str">
        <f aca="false">IF('📅 Monthly PvA'!BA33="","—",IF('📅 Monthly PvA'!BA33&gt;='⚙ Config &amp; Assumptions'!B42,"✔ On/Above",IF('📅 Monthly PvA'!BA33&lt;='⚙ Config &amp; Assumptions'!B43,"✘ Below","~ Near")))</f>
        <v>—</v>
      </c>
      <c r="H14" s="8" t="s">
        <v>260</v>
      </c>
      <c r="I14" s="45" t="n">
        <f aca="false">'📅 Monthly PvA'!BB33</f>
        <v>0.171770972037284</v>
      </c>
      <c r="J14" s="93" t="n">
        <f aca="false">'📅 Monthly PvA'!BC33</f>
        <v>0</v>
      </c>
      <c r="K14" s="45" t="str">
        <f aca="false">'📅 Monthly PvA'!BD33</f>
        <v/>
      </c>
      <c r="L14" s="45" t="str">
        <f aca="false">'📅 Monthly PvA'!BE33</f>
        <v/>
      </c>
      <c r="M14" s="90" t="str">
        <f aca="false">IF('📅 Monthly PvA'!BE33="","—",IF('📅 Monthly PvA'!BE33&gt;='⚙ Config &amp; Assumptions'!B42,"✔ On/Above",IF('📅 Monthly PvA'!BE33&lt;='⚙ Config &amp; Assumptions'!B43,"✘ Below","~ Near")))</f>
        <v>—</v>
      </c>
    </row>
    <row r="15" customFormat="false" ht="16.5" hidden="false" customHeight="true" outlineLevel="0" collapsed="false">
      <c r="A15" s="13" t="s">
        <v>307</v>
      </c>
      <c r="B15" s="91" t="n">
        <f aca="false">'📅 Monthly PvA'!AX35</f>
        <v>0</v>
      </c>
      <c r="C15" s="92" t="str">
        <f aca="false">'📅 Monthly PvA'!AY35</f>
        <v/>
      </c>
      <c r="D15" s="91" t="str">
        <f aca="false">'📅 Monthly PvA'!AZ35</f>
        <v/>
      </c>
      <c r="E15" s="45" t="str">
        <f aca="false">'📅 Monthly PvA'!BA35</f>
        <v/>
      </c>
      <c r="F15" s="89" t="str">
        <f aca="false">IF('📅 Monthly PvA'!BA35="","—",IF('📅 Monthly PvA'!BA35&gt;='⚙ Config &amp; Assumptions'!B42,"✔ On/Above",IF('📅 Monthly PvA'!BA35&lt;='⚙ Config &amp; Assumptions'!B43,"✘ Below","~ Near")))</f>
        <v>—</v>
      </c>
      <c r="H15" s="13" t="s">
        <v>307</v>
      </c>
      <c r="I15" s="91" t="n">
        <f aca="false">'📅 Monthly PvA'!BB35</f>
        <v>0</v>
      </c>
      <c r="J15" s="92" t="n">
        <f aca="false">'📅 Monthly PvA'!BC35</f>
        <v>0</v>
      </c>
      <c r="K15" s="91" t="str">
        <f aca="false">'📅 Monthly PvA'!BD35</f>
        <v/>
      </c>
      <c r="L15" s="45" t="str">
        <f aca="false">'📅 Monthly PvA'!BE35</f>
        <v/>
      </c>
      <c r="M15" s="90" t="str">
        <f aca="false">IF('📅 Monthly PvA'!BE35="","—",IF('📅 Monthly PvA'!BE35&gt;='⚙ Config &amp; Assumptions'!B42,"✔ On/Above",IF('📅 Monthly PvA'!BE35&lt;='⚙ Config &amp; Assumptions'!B43,"✘ Below","~ Near")))</f>
        <v>—</v>
      </c>
    </row>
    <row r="16" customFormat="false" ht="16.5" hidden="false" customHeight="true" outlineLevel="0" collapsed="false">
      <c r="A16" s="8" t="s">
        <v>308</v>
      </c>
      <c r="B16" s="91" t="n">
        <f aca="false">'📅 Monthly PvA'!AX36</f>
        <v>1935</v>
      </c>
      <c r="C16" s="92" t="str">
        <f aca="false">'📅 Monthly PvA'!AY36</f>
        <v/>
      </c>
      <c r="D16" s="91" t="str">
        <f aca="false">'📅 Monthly PvA'!AZ36</f>
        <v/>
      </c>
      <c r="E16" s="45" t="str">
        <f aca="false">'📅 Monthly PvA'!BA36</f>
        <v/>
      </c>
      <c r="F16" s="89" t="str">
        <f aca="false">IF('📅 Monthly PvA'!BA36="","—",IF('📅 Monthly PvA'!BA36&gt;='⚙ Config &amp; Assumptions'!B42,"✔ On/Above",IF('📅 Monthly PvA'!BA36&lt;='⚙ Config &amp; Assumptions'!B43,"✘ Below","~ Near")))</f>
        <v>—</v>
      </c>
      <c r="H16" s="8" t="s">
        <v>308</v>
      </c>
      <c r="I16" s="91" t="n">
        <f aca="false">'📅 Monthly PvA'!BB36</f>
        <v>1935</v>
      </c>
      <c r="J16" s="92" t="n">
        <f aca="false">'📅 Monthly PvA'!BC36</f>
        <v>0</v>
      </c>
      <c r="K16" s="91" t="str">
        <f aca="false">'📅 Monthly PvA'!BD36</f>
        <v/>
      </c>
      <c r="L16" s="45" t="str">
        <f aca="false">'📅 Monthly PvA'!BE36</f>
        <v/>
      </c>
      <c r="M16" s="90" t="str">
        <f aca="false">IF('📅 Monthly PvA'!BE36="","—",IF('📅 Monthly PvA'!BE36&gt;='⚙ Config &amp; Assumptions'!B42,"✔ On/Above",IF('📅 Monthly PvA'!BE36&lt;='⚙ Config &amp; Assumptions'!B43,"✘ Below","~ Near")))</f>
        <v>—</v>
      </c>
    </row>
    <row r="17" customFormat="false" ht="16.5" hidden="false" customHeight="true" outlineLevel="0" collapsed="false">
      <c r="A17" s="13" t="s">
        <v>266</v>
      </c>
      <c r="B17" s="94" t="n">
        <f aca="false">'📅 Monthly PvA'!AX39</f>
        <v>47.2828</v>
      </c>
      <c r="C17" s="95" t="str">
        <f aca="false">'📅 Monthly PvA'!AY39</f>
        <v/>
      </c>
      <c r="D17" s="94" t="str">
        <f aca="false">'📅 Monthly PvA'!AZ39</f>
        <v/>
      </c>
      <c r="E17" s="45" t="str">
        <f aca="false">'📅 Monthly PvA'!BA39</f>
        <v/>
      </c>
      <c r="F17" s="89" t="str">
        <f aca="false">IF('📅 Monthly PvA'!BA39="","—",IF('📅 Monthly PvA'!BA39&gt;='⚙ Config &amp; Assumptions'!B42,"✔ On/Above",IF('📅 Monthly PvA'!BA39&lt;='⚙ Config &amp; Assumptions'!B43,"✘ Below","~ Near")))</f>
        <v>—</v>
      </c>
      <c r="H17" s="13" t="s">
        <v>266</v>
      </c>
      <c r="I17" s="94" t="n">
        <f aca="false">'📅 Monthly PvA'!BB39</f>
        <v>47.2828</v>
      </c>
      <c r="J17" s="95" t="n">
        <f aca="false">'📅 Monthly PvA'!BC39</f>
        <v>0</v>
      </c>
      <c r="K17" s="94" t="str">
        <f aca="false">'📅 Monthly PvA'!BD39</f>
        <v/>
      </c>
      <c r="L17" s="45" t="str">
        <f aca="false">'📅 Monthly PvA'!BE39</f>
        <v/>
      </c>
      <c r="M17" s="90" t="str">
        <f aca="false">IF('📅 Monthly PvA'!BE39="","—",IF('📅 Monthly PvA'!BE39&gt;='⚙ Config &amp; Assumptions'!B42,"✔ On/Above",IF('📅 Monthly PvA'!BE39&lt;='⚙ Config &amp; Assumptions'!B43,"✘ Below","~ Near")))</f>
        <v>—</v>
      </c>
    </row>
    <row r="18" customFormat="false" ht="16.5" hidden="false" customHeight="true" outlineLevel="0" collapsed="false">
      <c r="A18" s="13" t="s">
        <v>421</v>
      </c>
      <c r="B18" s="91" t="n">
        <f aca="false">'📅 Monthly PvA'!AX42</f>
        <v>10367</v>
      </c>
      <c r="C18" s="92" t="str">
        <f aca="false">'📅 Monthly PvA'!AY42</f>
        <v/>
      </c>
      <c r="D18" s="91" t="str">
        <f aca="false">'📅 Monthly PvA'!AZ42</f>
        <v/>
      </c>
      <c r="E18" s="45" t="str">
        <f aca="false">'📅 Monthly PvA'!BA42</f>
        <v/>
      </c>
      <c r="F18" s="89" t="str">
        <f aca="false">IF('📅 Monthly PvA'!BA42="","—",IF('📅 Monthly PvA'!BA42&gt;='⚙ Config &amp; Assumptions'!B42,"✔ On/Above",IF('📅 Monthly PvA'!BA42&lt;='⚙ Config &amp; Assumptions'!B43,"✘ Below","~ Near")))</f>
        <v>—</v>
      </c>
      <c r="H18" s="13" t="s">
        <v>421</v>
      </c>
      <c r="I18" s="91" t="n">
        <f aca="false">'📅 Monthly PvA'!BB42</f>
        <v>10367</v>
      </c>
      <c r="J18" s="92" t="n">
        <f aca="false">'📅 Monthly PvA'!BC42</f>
        <v>0</v>
      </c>
      <c r="K18" s="91" t="str">
        <f aca="false">'📅 Monthly PvA'!BD42</f>
        <v/>
      </c>
      <c r="L18" s="45" t="str">
        <f aca="false">'📅 Monthly PvA'!BE42</f>
        <v/>
      </c>
      <c r="M18" s="90" t="str">
        <f aca="false">IF('📅 Monthly PvA'!BE42="","—",IF('📅 Monthly PvA'!BE42&gt;='⚙ Config &amp; Assumptions'!B42,"✔ On/Above",IF('📅 Monthly PvA'!BE42&lt;='⚙ Config &amp; Assumptions'!B43,"✘ Below","~ Near")))</f>
        <v>—</v>
      </c>
    </row>
  </sheetData>
  <mergeCells count="4">
    <mergeCell ref="A1:M1"/>
    <mergeCell ref="A2:M2"/>
    <mergeCell ref="A3:F3"/>
    <mergeCell ref="H3:M3"/>
  </mergeCells>
  <conditionalFormatting sqref="E5:E19">
    <cfRule type="cellIs" priority="2" operator="greaterThan" aboveAverage="0" equalAverage="0" bottom="0" percent="0" rank="0" text="" dxfId="0">
      <formula>'⚙ Config &amp; Assumptions'!B42</formula>
    </cfRule>
    <cfRule type="cellIs" priority="3" operator="lessThan" aboveAverage="0" equalAverage="0" bottom="0" percent="0" rank="0" text="" dxfId="1">
      <formula>'⚙ Config &amp; Assumptions'!B43</formula>
    </cfRule>
  </conditionalFormatting>
  <conditionalFormatting sqref="L5:L19">
    <cfRule type="cellIs" priority="4" operator="greaterThan" aboveAverage="0" equalAverage="0" bottom="0" percent="0" rank="0" text="" dxfId="0">
      <formula>'⚙ Config &amp; Assumptions'!B42</formula>
    </cfRule>
    <cfRule type="cellIs" priority="5" operator="lessThan" aboveAverage="0" equalAverage="0" bottom="0" percent="0" rank="0" text="" dxfId="1">
      <formula>'⚙ Config &amp; Assumptions'!B43</formula>
    </cfRule>
  </conditionalFormatting>
  <conditionalFormatting sqref="F5:F19">
    <cfRule type="cellIs" priority="6" operator="equal" aboveAverage="0" equalAverage="0" bottom="0" percent="0" rank="0" text="" dxfId="0">
      <formula>"✔ On/Above"</formula>
    </cfRule>
    <cfRule type="cellIs" priority="7" operator="equal" aboveAverage="0" equalAverage="0" bottom="0" percent="0" rank="0" text="" dxfId="1">
      <formula>"✘ Below"</formula>
    </cfRule>
  </conditionalFormatting>
  <conditionalFormatting sqref="M5:M19">
    <cfRule type="cellIs" priority="8" operator="equal" aboveAverage="0" equalAverage="0" bottom="0" percent="0" rank="0" text="" dxfId="0">
      <formula>"✔ On/Above"</formula>
    </cfRule>
    <cfRule type="cellIs" priority="9" operator="equal" aboveAverage="0" equalAverage="0" bottom="0" percent="0" rank="0" text="" dxfId="1">
      <formula>"✘ Below"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9" min="2" style="0" width="9"/>
  </cols>
  <sheetData>
    <row r="1" customFormat="false" ht="16.15" hidden="false" customHeight="true" outlineLevel="0" collapsed="false">
      <c r="A1" s="10" t="s">
        <v>422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</row>
    <row r="2" customFormat="false" ht="15" hidden="false" customHeight="false" outlineLevel="0" collapsed="false">
      <c r="A2" s="82" t="s">
        <v>423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</row>
    <row r="3" customFormat="false" ht="27.75" hidden="false" customHeight="true" outlineLevel="0" collapsed="false">
      <c r="A3" s="12" t="s">
        <v>271</v>
      </c>
      <c r="B3" s="96" t="s">
        <v>424</v>
      </c>
      <c r="C3" s="96"/>
      <c r="D3" s="96"/>
      <c r="E3" s="96"/>
      <c r="F3" s="96" t="s">
        <v>425</v>
      </c>
      <c r="G3" s="96"/>
      <c r="H3" s="96"/>
      <c r="I3" s="96"/>
      <c r="J3" s="96" t="s">
        <v>426</v>
      </c>
      <c r="K3" s="96"/>
      <c r="L3" s="96"/>
      <c r="M3" s="96"/>
      <c r="N3" s="96" t="s">
        <v>427</v>
      </c>
      <c r="O3" s="96"/>
      <c r="P3" s="96"/>
      <c r="Q3" s="96"/>
      <c r="R3" s="96" t="s">
        <v>428</v>
      </c>
      <c r="S3" s="96"/>
      <c r="T3" s="96"/>
      <c r="U3" s="96"/>
      <c r="V3" s="96" t="s">
        <v>429</v>
      </c>
      <c r="W3" s="96"/>
      <c r="X3" s="96"/>
      <c r="Y3" s="96"/>
      <c r="Z3" s="96" t="s">
        <v>430</v>
      </c>
      <c r="AA3" s="96"/>
      <c r="AB3" s="96"/>
      <c r="AC3" s="96"/>
      <c r="AD3" s="96" t="s">
        <v>431</v>
      </c>
      <c r="AE3" s="96"/>
      <c r="AF3" s="96"/>
      <c r="AG3" s="96"/>
      <c r="AH3" s="96" t="s">
        <v>432</v>
      </c>
      <c r="AI3" s="96"/>
      <c r="AJ3" s="96"/>
      <c r="AK3" s="96"/>
      <c r="AL3" s="96" t="s">
        <v>433</v>
      </c>
      <c r="AM3" s="96"/>
      <c r="AN3" s="96"/>
      <c r="AO3" s="96"/>
      <c r="AP3" s="96" t="s">
        <v>434</v>
      </c>
      <c r="AQ3" s="96"/>
      <c r="AR3" s="96"/>
      <c r="AS3" s="96"/>
      <c r="AT3" s="96" t="s">
        <v>435</v>
      </c>
      <c r="AU3" s="96"/>
      <c r="AV3" s="96"/>
      <c r="AW3" s="96"/>
      <c r="AX3" s="97" t="s">
        <v>436</v>
      </c>
      <c r="AY3" s="97"/>
      <c r="AZ3" s="97"/>
      <c r="BA3" s="97"/>
      <c r="BB3" s="98" t="s">
        <v>437</v>
      </c>
      <c r="BC3" s="98"/>
      <c r="BD3" s="98"/>
      <c r="BE3" s="98"/>
    </row>
    <row r="4" customFormat="false" ht="21.75" hidden="false" customHeight="true" outlineLevel="0" collapsed="false">
      <c r="A4" s="67" t="s">
        <v>438</v>
      </c>
      <c r="B4" s="99" t="s">
        <v>414</v>
      </c>
      <c r="C4" s="100" t="s">
        <v>415</v>
      </c>
      <c r="D4" s="101" t="s">
        <v>416</v>
      </c>
      <c r="E4" s="101" t="s">
        <v>417</v>
      </c>
      <c r="F4" s="99" t="s">
        <v>414</v>
      </c>
      <c r="G4" s="100" t="s">
        <v>415</v>
      </c>
      <c r="H4" s="101" t="s">
        <v>416</v>
      </c>
      <c r="I4" s="101" t="s">
        <v>417</v>
      </c>
      <c r="J4" s="99" t="s">
        <v>414</v>
      </c>
      <c r="K4" s="100" t="s">
        <v>415</v>
      </c>
      <c r="L4" s="101" t="s">
        <v>416</v>
      </c>
      <c r="M4" s="101" t="s">
        <v>417</v>
      </c>
      <c r="N4" s="99" t="s">
        <v>414</v>
      </c>
      <c r="O4" s="100" t="s">
        <v>415</v>
      </c>
      <c r="P4" s="101" t="s">
        <v>416</v>
      </c>
      <c r="Q4" s="101" t="s">
        <v>417</v>
      </c>
      <c r="R4" s="99" t="s">
        <v>414</v>
      </c>
      <c r="S4" s="100" t="s">
        <v>415</v>
      </c>
      <c r="T4" s="101" t="s">
        <v>416</v>
      </c>
      <c r="U4" s="101" t="s">
        <v>417</v>
      </c>
      <c r="V4" s="99" t="s">
        <v>414</v>
      </c>
      <c r="W4" s="100" t="s">
        <v>415</v>
      </c>
      <c r="X4" s="101" t="s">
        <v>416</v>
      </c>
      <c r="Y4" s="101" t="s">
        <v>417</v>
      </c>
      <c r="Z4" s="99" t="s">
        <v>414</v>
      </c>
      <c r="AA4" s="100" t="s">
        <v>415</v>
      </c>
      <c r="AB4" s="101" t="s">
        <v>416</v>
      </c>
      <c r="AC4" s="101" t="s">
        <v>417</v>
      </c>
      <c r="AD4" s="99" t="s">
        <v>414</v>
      </c>
      <c r="AE4" s="100" t="s">
        <v>415</v>
      </c>
      <c r="AF4" s="101" t="s">
        <v>416</v>
      </c>
      <c r="AG4" s="101" t="s">
        <v>417</v>
      </c>
      <c r="AH4" s="99" t="s">
        <v>414</v>
      </c>
      <c r="AI4" s="100" t="s">
        <v>415</v>
      </c>
      <c r="AJ4" s="101" t="s">
        <v>416</v>
      </c>
      <c r="AK4" s="101" t="s">
        <v>417</v>
      </c>
      <c r="AL4" s="99" t="s">
        <v>414</v>
      </c>
      <c r="AM4" s="100" t="s">
        <v>415</v>
      </c>
      <c r="AN4" s="101" t="s">
        <v>416</v>
      </c>
      <c r="AO4" s="101" t="s">
        <v>417</v>
      </c>
      <c r="AP4" s="99" t="s">
        <v>414</v>
      </c>
      <c r="AQ4" s="100" t="s">
        <v>415</v>
      </c>
      <c r="AR4" s="101" t="s">
        <v>416</v>
      </c>
      <c r="AS4" s="101" t="s">
        <v>417</v>
      </c>
      <c r="AT4" s="99" t="s">
        <v>414</v>
      </c>
      <c r="AU4" s="100" t="s">
        <v>415</v>
      </c>
      <c r="AV4" s="101" t="s">
        <v>416</v>
      </c>
      <c r="AW4" s="101" t="s">
        <v>417</v>
      </c>
      <c r="AX4" s="102" t="s">
        <v>414</v>
      </c>
      <c r="AY4" s="102" t="s">
        <v>415</v>
      </c>
      <c r="AZ4" s="102" t="s">
        <v>416</v>
      </c>
      <c r="BA4" s="102" t="s">
        <v>417</v>
      </c>
      <c r="BB4" s="103" t="s">
        <v>414</v>
      </c>
      <c r="BC4" s="103" t="s">
        <v>415</v>
      </c>
      <c r="BD4" s="103" t="s">
        <v>416</v>
      </c>
      <c r="BE4" s="103" t="s">
        <v>417</v>
      </c>
    </row>
    <row r="5" customFormat="false" ht="21.75" hidden="false" customHeight="true" outlineLevel="0" collapsed="false"/>
    <row r="6" customFormat="false" ht="15" hidden="false" customHeight="true" outlineLevel="0" collapsed="false">
      <c r="A6" s="7" t="s">
        <v>439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</row>
    <row r="7" customFormat="false" ht="15" hidden="false" customHeight="true" outlineLevel="0" collapsed="false">
      <c r="A7" s="13" t="s">
        <v>440</v>
      </c>
      <c r="B7" s="48" t="n">
        <f aca="false">ROUND('⚙ Config &amp; Assumptions'!B5*'⚙ Config &amp; Assumptions'!B7,0)</f>
        <v>79</v>
      </c>
      <c r="C7" s="104"/>
      <c r="D7" s="48" t="str">
        <f aca="false">IF(C7="","",C7-B7)</f>
        <v/>
      </c>
      <c r="E7" s="45" t="str">
        <f aca="false">IF(OR(C7="",B7=0),"",(C7-B7)/B7)</f>
        <v/>
      </c>
      <c r="F7" s="48" t="n">
        <f aca="false">ROUND('⚙ Config &amp; Assumptions'!B5*'⚙ Config &amp; Assumptions'!B8,0)</f>
        <v>84</v>
      </c>
      <c r="G7" s="104"/>
      <c r="H7" s="48" t="str">
        <f aca="false">IF(G7="","",G7-F7)</f>
        <v/>
      </c>
      <c r="I7" s="45" t="str">
        <f aca="false">IF(OR(G7="",F7=0),"",(G7-F7)/F7)</f>
        <v/>
      </c>
      <c r="J7" s="48" t="n">
        <f aca="false">ROUND('⚙ Config &amp; Assumptions'!B5*'⚙ Config &amp; Assumptions'!B9,0)</f>
        <v>73</v>
      </c>
      <c r="K7" s="104"/>
      <c r="L7" s="48" t="str">
        <f aca="false">IF(K7="","",K7-J7)</f>
        <v/>
      </c>
      <c r="M7" s="45" t="str">
        <f aca="false">IF(OR(K7="",J7=0),"",(K7-J7)/J7)</f>
        <v/>
      </c>
      <c r="N7" s="48" t="n">
        <f aca="false">ROUND('⚙ Config &amp; Assumptions'!B5*'⚙ Config &amp; Assumptions'!B10,0)</f>
        <v>84</v>
      </c>
      <c r="O7" s="104"/>
      <c r="P7" s="48" t="str">
        <f aca="false">IF(O7="","",O7-N7)</f>
        <v/>
      </c>
      <c r="Q7" s="45" t="str">
        <f aca="false">IF(OR(O7="",N7=0),"",(O7-N7)/N7)</f>
        <v/>
      </c>
      <c r="R7" s="48" t="n">
        <f aca="false">ROUND('⚙ Config &amp; Assumptions'!B5*'⚙ Config &amp; Assumptions'!B11,0)</f>
        <v>101</v>
      </c>
      <c r="S7" s="104"/>
      <c r="T7" s="48" t="str">
        <f aca="false">IF(S7="","",S7-R7)</f>
        <v/>
      </c>
      <c r="U7" s="45" t="str">
        <f aca="false">IF(OR(S7="",R7=0),"",(S7-R7)/R7)</f>
        <v/>
      </c>
      <c r="V7" s="48" t="n">
        <f aca="false">ROUND('⚙ Config &amp; Assumptions'!B5*'⚙ Config &amp; Assumptions'!B12,0)</f>
        <v>107</v>
      </c>
      <c r="W7" s="104"/>
      <c r="X7" s="48" t="str">
        <f aca="false">IF(W7="","",W7-V7)</f>
        <v/>
      </c>
      <c r="Y7" s="45" t="str">
        <f aca="false">IF(OR(W7="",V7=0),"",(W7-V7)/V7)</f>
        <v/>
      </c>
      <c r="Z7" s="48" t="n">
        <f aca="false">ROUND('⚙ Config &amp; Assumptions'!B5*'⚙ Config &amp; Assumptions'!B13,0)</f>
        <v>112</v>
      </c>
      <c r="AA7" s="104"/>
      <c r="AB7" s="48" t="str">
        <f aca="false">IF(AA7="","",AA7-Z7)</f>
        <v/>
      </c>
      <c r="AC7" s="45" t="str">
        <f aca="false">IF(OR(AA7="",Z7=0),"",(AA7-Z7)/Z7)</f>
        <v/>
      </c>
      <c r="AD7" s="48" t="n">
        <f aca="false">ROUND('⚙ Config &amp; Assumptions'!B5*'⚙ Config &amp; Assumptions'!B14,0)</f>
        <v>107</v>
      </c>
      <c r="AE7" s="104"/>
      <c r="AF7" s="48" t="str">
        <f aca="false">IF(AE7="","",AE7-AD7)</f>
        <v/>
      </c>
      <c r="AG7" s="45" t="str">
        <f aca="false">IF(OR(AE7="",AD7=0),"",(AE7-AD7)/AD7)</f>
        <v/>
      </c>
      <c r="AH7" s="48" t="n">
        <f aca="false">ROUND('⚙ Config &amp; Assumptions'!B5*'⚙ Config &amp; Assumptions'!B15,0)</f>
        <v>101</v>
      </c>
      <c r="AI7" s="104"/>
      <c r="AJ7" s="48" t="str">
        <f aca="false">IF(AI7="","",AI7-AH7)</f>
        <v/>
      </c>
      <c r="AK7" s="45" t="str">
        <f aca="false">IF(OR(AI7="",AH7=0),"",(AI7-AH7)/AH7)</f>
        <v/>
      </c>
      <c r="AL7" s="48" t="n">
        <f aca="false">ROUND('⚙ Config &amp; Assumptions'!B5*'⚙ Config &amp; Assumptions'!B16,0)</f>
        <v>101</v>
      </c>
      <c r="AM7" s="104"/>
      <c r="AN7" s="48" t="str">
        <f aca="false">IF(AM7="","",AM7-AL7)</f>
        <v/>
      </c>
      <c r="AO7" s="45" t="str">
        <f aca="false">IF(OR(AM7="",AL7=0),"",(AM7-AL7)/AL7)</f>
        <v/>
      </c>
      <c r="AP7" s="48" t="n">
        <f aca="false">ROUND('⚙ Config &amp; Assumptions'!B5*'⚙ Config &amp; Assumptions'!B17,0)</f>
        <v>95</v>
      </c>
      <c r="AQ7" s="104"/>
      <c r="AR7" s="48" t="str">
        <f aca="false">IF(AQ7="","",AQ7-AP7)</f>
        <v/>
      </c>
      <c r="AS7" s="45" t="str">
        <f aca="false">IF(OR(AQ7="",AP7=0),"",(AQ7-AP7)/AP7)</f>
        <v/>
      </c>
      <c r="AT7" s="48" t="n">
        <f aca="false">ROUND('⚙ Config &amp; Assumptions'!B5*'⚙ Config &amp; Assumptions'!B18,0)</f>
        <v>79</v>
      </c>
      <c r="AU7" s="104"/>
      <c r="AV7" s="48" t="str">
        <f aca="false">IF(AU7="","",AU7-AT7)</f>
        <v/>
      </c>
      <c r="AW7" s="45" t="str">
        <f aca="false">IF(OR(AU7="",AT7=0),"",(AU7-AT7)/AT7)</f>
        <v/>
      </c>
      <c r="AX7" s="105" t="n">
        <f aca="false">CHOOSE('⚙ Config &amp; Assumptions'!B41,B7,F7,J7,N7,R7,V7,Z7,AD7,AH7,AL7,AP7,AT7)</f>
        <v>79</v>
      </c>
      <c r="AY7" s="105" t="str">
        <f aca="false">IF(CHOOSE('⚙ Config &amp; Assumptions'!B41,C7,G7,K7,O7,S7,W7,AA7,AE7,AI7,AM7,AQ7,AU7)="","",CHOOSE('⚙ Config &amp; Assumptions'!B41,C7,G7,K7,O7,S7,W7,AA7,AE7,AI7,AM7,AQ7,AU7))</f>
        <v/>
      </c>
      <c r="AZ7" s="105" t="str">
        <f aca="false">IF(AY7="","",AY7-AX7)</f>
        <v/>
      </c>
      <c r="BA7" s="106" t="str">
        <f aca="false">IF(OR(AY7="",AX7=0),"",(AY7-AX7)/AX7)</f>
        <v/>
      </c>
      <c r="BB7" s="107" t="n">
        <f aca="false">IF('⚙ Config &amp; Assumptions'!B41&gt;=1,B7,0)+IF('⚙ Config &amp; Assumptions'!B41&gt;=2,F7,0)+IF('⚙ Config &amp; Assumptions'!B41&gt;=3,J7,0)+IF('⚙ Config &amp; Assumptions'!B41&gt;=4,N7,0)+IF('⚙ Config &amp; Assumptions'!B41&gt;=5,R7,0)+IF('⚙ Config &amp; Assumptions'!B41&gt;=6,V7,0)+IF('⚙ Config &amp; Assumptions'!B41&gt;=7,Z7,0)+IF('⚙ Config &amp; Assumptions'!B41&gt;=8,AD7,0)+IF('⚙ Config &amp; Assumptions'!B41&gt;=9,AH7,0)+IF('⚙ Config &amp; Assumptions'!B41&gt;=10,AL7,0)+IF('⚙ Config &amp; Assumptions'!B41&gt;=11,AP7,0)+IF('⚙ Config &amp; Assumptions'!B41&gt;=12,AT7,0)</f>
        <v>79</v>
      </c>
      <c r="BC7" s="107" t="n">
        <f aca="false">IF(AND('⚙ Config &amp; Assumptions'!B41&gt;=1,C7&lt;&gt;""),C7,0)+IF(AND('⚙ Config &amp; Assumptions'!B41&gt;=2,G7&lt;&gt;""),G7,0)+IF(AND('⚙ Config &amp; Assumptions'!B41&gt;=3,K7&lt;&gt;""),K7,0)+IF(AND('⚙ Config &amp; Assumptions'!B41&gt;=4,O7&lt;&gt;""),O7,0)+IF(AND('⚙ Config &amp; Assumptions'!B41&gt;=5,S7&lt;&gt;""),S7,0)+IF(AND('⚙ Config &amp; Assumptions'!B41&gt;=6,W7&lt;&gt;""),W7,0)+IF(AND('⚙ Config &amp; Assumptions'!B41&gt;=7,AA7&lt;&gt;""),AA7,0)+IF(AND('⚙ Config &amp; Assumptions'!B41&gt;=8,AE7&lt;&gt;""),AE7,0)+IF(AND('⚙ Config &amp; Assumptions'!B41&gt;=9,AI7&lt;&gt;""),AI7,0)+IF(AND('⚙ Config &amp; Assumptions'!B41&gt;=10,AM7&lt;&gt;""),AM7,0)+IF(AND('⚙ Config &amp; Assumptions'!B41&gt;=11,AQ7&lt;&gt;""),AQ7,0)+IF(AND('⚙ Config &amp; Assumptions'!B41&gt;=12,AU7&lt;&gt;""),AU7,0)</f>
        <v>0</v>
      </c>
      <c r="BD7" s="107" t="str">
        <f aca="false">IF(BC7=0,"",BC7-BB7)</f>
        <v/>
      </c>
      <c r="BE7" s="108" t="str">
        <f aca="false">IF(OR(BC7=0,BB7=0),"",(BC7-BB7)/BB7)</f>
        <v/>
      </c>
    </row>
    <row r="8" customFormat="false" ht="15" hidden="false" customHeight="true" outlineLevel="0" collapsed="false">
      <c r="A8" s="13" t="s">
        <v>348</v>
      </c>
      <c r="B8" s="109" t="n">
        <f aca="false">'⚙ Config &amp; Assumptions'!B22</f>
        <v>0.0793</v>
      </c>
      <c r="C8" s="110"/>
      <c r="D8" s="109" t="str">
        <f aca="false">IF(C8="","",C8-B8)</f>
        <v/>
      </c>
      <c r="E8" s="45" t="str">
        <f aca="false">IF(OR(C8="",B8=0),"",(C8-B8)/B8)</f>
        <v/>
      </c>
      <c r="F8" s="109" t="n">
        <f aca="false">'⚙ Config &amp; Assumptions'!B22</f>
        <v>0.0793</v>
      </c>
      <c r="G8" s="110"/>
      <c r="H8" s="109" t="str">
        <f aca="false">IF(G8="","",G8-F8)</f>
        <v/>
      </c>
      <c r="I8" s="45" t="str">
        <f aca="false">IF(OR(G8="",F8=0),"",(G8-F8)/F8)</f>
        <v/>
      </c>
      <c r="J8" s="109" t="n">
        <f aca="false">'⚙ Config &amp; Assumptions'!B22</f>
        <v>0.0793</v>
      </c>
      <c r="K8" s="110"/>
      <c r="L8" s="109" t="str">
        <f aca="false">IF(K8="","",K8-J8)</f>
        <v/>
      </c>
      <c r="M8" s="45" t="str">
        <f aca="false">IF(OR(K8="",J8=0),"",(K8-J8)/J8)</f>
        <v/>
      </c>
      <c r="N8" s="109" t="n">
        <f aca="false">'⚙ Config &amp; Assumptions'!B22</f>
        <v>0.0793</v>
      </c>
      <c r="O8" s="110"/>
      <c r="P8" s="109" t="str">
        <f aca="false">IF(O8="","",O8-N8)</f>
        <v/>
      </c>
      <c r="Q8" s="45" t="str">
        <f aca="false">IF(OR(O8="",N8=0),"",(O8-N8)/N8)</f>
        <v/>
      </c>
      <c r="R8" s="109" t="n">
        <f aca="false">'⚙ Config &amp; Assumptions'!B22</f>
        <v>0.0793</v>
      </c>
      <c r="S8" s="110"/>
      <c r="T8" s="109" t="str">
        <f aca="false">IF(S8="","",S8-R8)</f>
        <v/>
      </c>
      <c r="U8" s="45" t="str">
        <f aca="false">IF(OR(S8="",R8=0),"",(S8-R8)/R8)</f>
        <v/>
      </c>
      <c r="V8" s="109" t="n">
        <f aca="false">'⚙ Config &amp; Assumptions'!B22</f>
        <v>0.0793</v>
      </c>
      <c r="W8" s="110"/>
      <c r="X8" s="109" t="str">
        <f aca="false">IF(W8="","",W8-V8)</f>
        <v/>
      </c>
      <c r="Y8" s="45" t="str">
        <f aca="false">IF(OR(W8="",V8=0),"",(W8-V8)/V8)</f>
        <v/>
      </c>
      <c r="Z8" s="109" t="n">
        <f aca="false">'⚙ Config &amp; Assumptions'!B22</f>
        <v>0.0793</v>
      </c>
      <c r="AA8" s="110"/>
      <c r="AB8" s="109" t="str">
        <f aca="false">IF(AA8="","",AA8-Z8)</f>
        <v/>
      </c>
      <c r="AC8" s="45" t="str">
        <f aca="false">IF(OR(AA8="",Z8=0),"",(AA8-Z8)/Z8)</f>
        <v/>
      </c>
      <c r="AD8" s="109" t="n">
        <f aca="false">'⚙ Config &amp; Assumptions'!B22</f>
        <v>0.0793</v>
      </c>
      <c r="AE8" s="110"/>
      <c r="AF8" s="109" t="str">
        <f aca="false">IF(AE8="","",AE8-AD8)</f>
        <v/>
      </c>
      <c r="AG8" s="45" t="str">
        <f aca="false">IF(OR(AE8="",AD8=0),"",(AE8-AD8)/AD8)</f>
        <v/>
      </c>
      <c r="AH8" s="109" t="n">
        <f aca="false">'⚙ Config &amp; Assumptions'!B22</f>
        <v>0.0793</v>
      </c>
      <c r="AI8" s="110"/>
      <c r="AJ8" s="109" t="str">
        <f aca="false">IF(AI8="","",AI8-AH8)</f>
        <v/>
      </c>
      <c r="AK8" s="45" t="str">
        <f aca="false">IF(OR(AI8="",AH8=0),"",(AI8-AH8)/AH8)</f>
        <v/>
      </c>
      <c r="AL8" s="109" t="n">
        <f aca="false">'⚙ Config &amp; Assumptions'!B22</f>
        <v>0.0793</v>
      </c>
      <c r="AM8" s="110"/>
      <c r="AN8" s="109" t="str">
        <f aca="false">IF(AM8="","",AM8-AL8)</f>
        <v/>
      </c>
      <c r="AO8" s="45" t="str">
        <f aca="false">IF(OR(AM8="",AL8=0),"",(AM8-AL8)/AL8)</f>
        <v/>
      </c>
      <c r="AP8" s="109" t="n">
        <f aca="false">'⚙ Config &amp; Assumptions'!B22</f>
        <v>0.0793</v>
      </c>
      <c r="AQ8" s="110"/>
      <c r="AR8" s="109" t="str">
        <f aca="false">IF(AQ8="","",AQ8-AP8)</f>
        <v/>
      </c>
      <c r="AS8" s="45" t="str">
        <f aca="false">IF(OR(AQ8="",AP8=0),"",(AQ8-AP8)/AP8)</f>
        <v/>
      </c>
      <c r="AT8" s="109" t="n">
        <f aca="false">'⚙ Config &amp; Assumptions'!B22</f>
        <v>0.0793</v>
      </c>
      <c r="AU8" s="110"/>
      <c r="AV8" s="109" t="str">
        <f aca="false">IF(AU8="","",AU8-AT8)</f>
        <v/>
      </c>
      <c r="AW8" s="45" t="str">
        <f aca="false">IF(OR(AU8="",AT8=0),"",(AU8-AT8)/AT8)</f>
        <v/>
      </c>
      <c r="AX8" s="111" t="n">
        <f aca="false">CHOOSE('⚙ Config &amp; Assumptions'!B41,B8,F8,J8,N8,R8,V8,Z8,AD8,AH8,AL8,AP8,AT8)</f>
        <v>0.0793</v>
      </c>
      <c r="AY8" s="111" t="str">
        <f aca="false">IF(CHOOSE('⚙ Config &amp; Assumptions'!B41,C8,G8,K8,O8,S8,W8,AA8,AE8,AI8,AM8,AQ8,AU8)="","",CHOOSE('⚙ Config &amp; Assumptions'!B41,C8,G8,K8,O8,S8,W8,AA8,AE8,AI8,AM8,AQ8,AU8))</f>
        <v/>
      </c>
      <c r="AZ8" s="111" t="str">
        <f aca="false">IF(AY8="","",AY8-AX8)</f>
        <v/>
      </c>
      <c r="BA8" s="106" t="str">
        <f aca="false">IF(OR(AY8="",AX8=0),"",(AY8-AX8)/AX8)</f>
        <v/>
      </c>
      <c r="BB8" s="112" t="n">
        <f aca="false">IF('⚙ Config &amp; Assumptions'!B41&gt;=1,B8,0)+IF('⚙ Config &amp; Assumptions'!B41&gt;=2,F8,0)+IF('⚙ Config &amp; Assumptions'!B41&gt;=3,J8,0)+IF('⚙ Config &amp; Assumptions'!B41&gt;=4,N8,0)+IF('⚙ Config &amp; Assumptions'!B41&gt;=5,R8,0)+IF('⚙ Config &amp; Assumptions'!B41&gt;=6,V8,0)+IF('⚙ Config &amp; Assumptions'!B41&gt;=7,Z8,0)+IF('⚙ Config &amp; Assumptions'!B41&gt;=8,AD8,0)+IF('⚙ Config &amp; Assumptions'!B41&gt;=9,AH8,0)+IF('⚙ Config &amp; Assumptions'!B41&gt;=10,AL8,0)+IF('⚙ Config &amp; Assumptions'!B41&gt;=11,AP8,0)+IF('⚙ Config &amp; Assumptions'!B41&gt;=12,AT8,0)</f>
        <v>0.0793</v>
      </c>
      <c r="BC8" s="112" t="n">
        <f aca="false">IF(AND('⚙ Config &amp; Assumptions'!B41&gt;=1,C8&lt;&gt;""),C8,0)+IF(AND('⚙ Config &amp; Assumptions'!B41&gt;=2,G8&lt;&gt;""),G8,0)+IF(AND('⚙ Config &amp; Assumptions'!B41&gt;=3,K8&lt;&gt;""),K8,0)+IF(AND('⚙ Config &amp; Assumptions'!B41&gt;=4,O8&lt;&gt;""),O8,0)+IF(AND('⚙ Config &amp; Assumptions'!B41&gt;=5,S8&lt;&gt;""),S8,0)+IF(AND('⚙ Config &amp; Assumptions'!B41&gt;=6,W8&lt;&gt;""),W8,0)+IF(AND('⚙ Config &amp; Assumptions'!B41&gt;=7,AA8&lt;&gt;""),AA8,0)+IF(AND('⚙ Config &amp; Assumptions'!B41&gt;=8,AE8&lt;&gt;""),AE8,0)+IF(AND('⚙ Config &amp; Assumptions'!B41&gt;=9,AI8&lt;&gt;""),AI8,0)+IF(AND('⚙ Config &amp; Assumptions'!B41&gt;=10,AM8&lt;&gt;""),AM8,0)+IF(AND('⚙ Config &amp; Assumptions'!B41&gt;=11,AQ8&lt;&gt;""),AQ8,0)+IF(AND('⚙ Config &amp; Assumptions'!B41&gt;=12,AU8&lt;&gt;""),AU8,0)</f>
        <v>0</v>
      </c>
      <c r="BD8" s="112" t="str">
        <f aca="false">IF(BC8=0,"",BC8-BB8)</f>
        <v/>
      </c>
      <c r="BE8" s="108" t="str">
        <f aca="false">IF(OR(BC8=0,BB8=0),"",(BC8-BB8)/BB8)</f>
        <v/>
      </c>
    </row>
    <row r="9" customFormat="false" ht="15" hidden="false" customHeight="true" outlineLevel="0" collapsed="false">
      <c r="A9" s="13" t="s">
        <v>349</v>
      </c>
      <c r="B9" s="48" t="n">
        <f aca="false">ROUND('⚙ Config &amp; Assumptions'!B5*'⚙ Config &amp; Assumptions'!B7*'⚙ Config &amp; Assumptions'!B22,0)</f>
        <v>6</v>
      </c>
      <c r="C9" s="104"/>
      <c r="D9" s="48" t="str">
        <f aca="false">IF(C9="","",C9-B9)</f>
        <v/>
      </c>
      <c r="E9" s="45" t="str">
        <f aca="false">IF(OR(C9="",B9=0),"",(C9-B9)/B9)</f>
        <v/>
      </c>
      <c r="F9" s="48" t="n">
        <f aca="false">ROUND('⚙ Config &amp; Assumptions'!B5*'⚙ Config &amp; Assumptions'!B8*'⚙ Config &amp; Assumptions'!B22,0)</f>
        <v>7</v>
      </c>
      <c r="G9" s="104"/>
      <c r="H9" s="48" t="str">
        <f aca="false">IF(G9="","",G9-F9)</f>
        <v/>
      </c>
      <c r="I9" s="45" t="str">
        <f aca="false">IF(OR(G9="",F9=0),"",(G9-F9)/F9)</f>
        <v/>
      </c>
      <c r="J9" s="48" t="n">
        <f aca="false">ROUND('⚙ Config &amp; Assumptions'!B5*'⚙ Config &amp; Assumptions'!B9*'⚙ Config &amp; Assumptions'!B22,0)</f>
        <v>6</v>
      </c>
      <c r="K9" s="104"/>
      <c r="L9" s="48" t="str">
        <f aca="false">IF(K9="","",K9-J9)</f>
        <v/>
      </c>
      <c r="M9" s="45" t="str">
        <f aca="false">IF(OR(K9="",J9=0),"",(K9-J9)/J9)</f>
        <v/>
      </c>
      <c r="N9" s="48" t="n">
        <f aca="false">ROUND('⚙ Config &amp; Assumptions'!B5*'⚙ Config &amp; Assumptions'!B10*'⚙ Config &amp; Assumptions'!B22,0)</f>
        <v>7</v>
      </c>
      <c r="O9" s="104"/>
      <c r="P9" s="48" t="str">
        <f aca="false">IF(O9="","",O9-N9)</f>
        <v/>
      </c>
      <c r="Q9" s="45" t="str">
        <f aca="false">IF(OR(O9="",N9=0),"",(O9-N9)/N9)</f>
        <v/>
      </c>
      <c r="R9" s="48" t="n">
        <f aca="false">ROUND('⚙ Config &amp; Assumptions'!B5*'⚙ Config &amp; Assumptions'!B11*'⚙ Config &amp; Assumptions'!B22,0)</f>
        <v>8</v>
      </c>
      <c r="S9" s="104"/>
      <c r="T9" s="48" t="str">
        <f aca="false">IF(S9="","",S9-R9)</f>
        <v/>
      </c>
      <c r="U9" s="45" t="str">
        <f aca="false">IF(OR(S9="",R9=0),"",(S9-R9)/R9)</f>
        <v/>
      </c>
      <c r="V9" s="48" t="n">
        <f aca="false">ROUND('⚙ Config &amp; Assumptions'!B5*'⚙ Config &amp; Assumptions'!B12*'⚙ Config &amp; Assumptions'!B22,0)</f>
        <v>8</v>
      </c>
      <c r="W9" s="104"/>
      <c r="X9" s="48" t="str">
        <f aca="false">IF(W9="","",W9-V9)</f>
        <v/>
      </c>
      <c r="Y9" s="45" t="str">
        <f aca="false">IF(OR(W9="",V9=0),"",(W9-V9)/V9)</f>
        <v/>
      </c>
      <c r="Z9" s="48" t="n">
        <f aca="false">ROUND('⚙ Config &amp; Assumptions'!B5*'⚙ Config &amp; Assumptions'!B13*'⚙ Config &amp; Assumptions'!B22,0)</f>
        <v>9</v>
      </c>
      <c r="AA9" s="104"/>
      <c r="AB9" s="48" t="str">
        <f aca="false">IF(AA9="","",AA9-Z9)</f>
        <v/>
      </c>
      <c r="AC9" s="45" t="str">
        <f aca="false">IF(OR(AA9="",Z9=0),"",(AA9-Z9)/Z9)</f>
        <v/>
      </c>
      <c r="AD9" s="48" t="n">
        <f aca="false">ROUND('⚙ Config &amp; Assumptions'!B5*'⚙ Config &amp; Assumptions'!B14*'⚙ Config &amp; Assumptions'!B22,0)</f>
        <v>8</v>
      </c>
      <c r="AE9" s="104"/>
      <c r="AF9" s="48" t="str">
        <f aca="false">IF(AE9="","",AE9-AD9)</f>
        <v/>
      </c>
      <c r="AG9" s="45" t="str">
        <f aca="false">IF(OR(AE9="",AD9=0),"",(AE9-AD9)/AD9)</f>
        <v/>
      </c>
      <c r="AH9" s="48" t="n">
        <f aca="false">ROUND('⚙ Config &amp; Assumptions'!B5*'⚙ Config &amp; Assumptions'!B15*'⚙ Config &amp; Assumptions'!B22,0)</f>
        <v>8</v>
      </c>
      <c r="AI9" s="104"/>
      <c r="AJ9" s="48" t="str">
        <f aca="false">IF(AI9="","",AI9-AH9)</f>
        <v/>
      </c>
      <c r="AK9" s="45" t="str">
        <f aca="false">IF(OR(AI9="",AH9=0),"",(AI9-AH9)/AH9)</f>
        <v/>
      </c>
      <c r="AL9" s="48" t="n">
        <f aca="false">ROUND('⚙ Config &amp; Assumptions'!B5*'⚙ Config &amp; Assumptions'!B16*'⚙ Config &amp; Assumptions'!B22,0)</f>
        <v>8</v>
      </c>
      <c r="AM9" s="104"/>
      <c r="AN9" s="48" t="str">
        <f aca="false">IF(AM9="","",AM9-AL9)</f>
        <v/>
      </c>
      <c r="AO9" s="45" t="str">
        <f aca="false">IF(OR(AM9="",AL9=0),"",(AM9-AL9)/AL9)</f>
        <v/>
      </c>
      <c r="AP9" s="48" t="n">
        <f aca="false">ROUND('⚙ Config &amp; Assumptions'!B5*'⚙ Config &amp; Assumptions'!B17*'⚙ Config &amp; Assumptions'!B22,0)</f>
        <v>8</v>
      </c>
      <c r="AQ9" s="104"/>
      <c r="AR9" s="48" t="str">
        <f aca="false">IF(AQ9="","",AQ9-AP9)</f>
        <v/>
      </c>
      <c r="AS9" s="45" t="str">
        <f aca="false">IF(OR(AQ9="",AP9=0),"",(AQ9-AP9)/AP9)</f>
        <v/>
      </c>
      <c r="AT9" s="48" t="n">
        <f aca="false">ROUND('⚙ Config &amp; Assumptions'!B5*'⚙ Config &amp; Assumptions'!B18*'⚙ Config &amp; Assumptions'!B22,0)</f>
        <v>6</v>
      </c>
      <c r="AU9" s="104"/>
      <c r="AV9" s="48" t="str">
        <f aca="false">IF(AU9="","",AU9-AT9)</f>
        <v/>
      </c>
      <c r="AW9" s="45" t="str">
        <f aca="false">IF(OR(AU9="",AT9=0),"",(AU9-AT9)/AT9)</f>
        <v/>
      </c>
      <c r="AX9" s="105" t="n">
        <f aca="false">CHOOSE('⚙ Config &amp; Assumptions'!B41,B9,F9,J9,N9,R9,V9,Z9,AD9,AH9,AL9,AP9,AT9)</f>
        <v>6</v>
      </c>
      <c r="AY9" s="105" t="str">
        <f aca="false">IF(CHOOSE('⚙ Config &amp; Assumptions'!B41,C9,G9,K9,O9,S9,W9,AA9,AE9,AI9,AM9,AQ9,AU9)="","",CHOOSE('⚙ Config &amp; Assumptions'!B41,C9,G9,K9,O9,S9,W9,AA9,AE9,AI9,AM9,AQ9,AU9))</f>
        <v/>
      </c>
      <c r="AZ9" s="105" t="str">
        <f aca="false">IF(AY9="","",AY9-AX9)</f>
        <v/>
      </c>
      <c r="BA9" s="106" t="str">
        <f aca="false">IF(OR(AY9="",AX9=0),"",(AY9-AX9)/AX9)</f>
        <v/>
      </c>
      <c r="BB9" s="107" t="n">
        <f aca="false">IF('⚙ Config &amp; Assumptions'!B41&gt;=1,B9,0)+IF('⚙ Config &amp; Assumptions'!B41&gt;=2,F9,0)+IF('⚙ Config &amp; Assumptions'!B41&gt;=3,J9,0)+IF('⚙ Config &amp; Assumptions'!B41&gt;=4,N9,0)+IF('⚙ Config &amp; Assumptions'!B41&gt;=5,R9,0)+IF('⚙ Config &amp; Assumptions'!B41&gt;=6,V9,0)+IF('⚙ Config &amp; Assumptions'!B41&gt;=7,Z9,0)+IF('⚙ Config &amp; Assumptions'!B41&gt;=8,AD9,0)+IF('⚙ Config &amp; Assumptions'!B41&gt;=9,AH9,0)+IF('⚙ Config &amp; Assumptions'!B41&gt;=10,AL9,0)+IF('⚙ Config &amp; Assumptions'!B41&gt;=11,AP9,0)+IF('⚙ Config &amp; Assumptions'!B41&gt;=12,AT9,0)</f>
        <v>6</v>
      </c>
      <c r="BC9" s="107" t="n">
        <f aca="false">IF(AND('⚙ Config &amp; Assumptions'!B41&gt;=1,C9&lt;&gt;""),C9,0)+IF(AND('⚙ Config &amp; Assumptions'!B41&gt;=2,G9&lt;&gt;""),G9,0)+IF(AND('⚙ Config &amp; Assumptions'!B41&gt;=3,K9&lt;&gt;""),K9,0)+IF(AND('⚙ Config &amp; Assumptions'!B41&gt;=4,O9&lt;&gt;""),O9,0)+IF(AND('⚙ Config &amp; Assumptions'!B41&gt;=5,S9&lt;&gt;""),S9,0)+IF(AND('⚙ Config &amp; Assumptions'!B41&gt;=6,W9&lt;&gt;""),W9,0)+IF(AND('⚙ Config &amp; Assumptions'!B41&gt;=7,AA9&lt;&gt;""),AA9,0)+IF(AND('⚙ Config &amp; Assumptions'!B41&gt;=8,AE9&lt;&gt;""),AE9,0)+IF(AND('⚙ Config &amp; Assumptions'!B41&gt;=9,AI9&lt;&gt;""),AI9,0)+IF(AND('⚙ Config &amp; Assumptions'!B41&gt;=10,AM9&lt;&gt;""),AM9,0)+IF(AND('⚙ Config &amp; Assumptions'!B41&gt;=11,AQ9&lt;&gt;""),AQ9,0)+IF(AND('⚙ Config &amp; Assumptions'!B41&gt;=12,AU9&lt;&gt;""),AU9,0)</f>
        <v>0</v>
      </c>
      <c r="BD9" s="107" t="str">
        <f aca="false">IF(BC9=0,"",BC9-BB9)</f>
        <v/>
      </c>
      <c r="BE9" s="108" t="str">
        <f aca="false">IF(OR(BC9=0,BB9=0),"",(BC9-BB9)/BB9)</f>
        <v/>
      </c>
    </row>
    <row r="10" customFormat="false" ht="15" hidden="false" customHeight="true" outlineLevel="0" collapsed="false">
      <c r="A10" s="113" t="s">
        <v>441</v>
      </c>
      <c r="B10" s="114" t="n">
        <f aca="false">ROUND('⚙ Config &amp; Assumptions'!B5*'⚙ Config &amp; Assumptions'!B7*(1-'⚙ Config &amp; Assumptions'!B22),0)</f>
        <v>72</v>
      </c>
      <c r="C10" s="104"/>
      <c r="D10" s="48" t="str">
        <f aca="false">IF(C10="","",C10-B10)</f>
        <v/>
      </c>
      <c r="E10" s="45" t="str">
        <f aca="false">IF(OR(C10="",B10=0),"",(C10-B10)/B10)</f>
        <v/>
      </c>
      <c r="F10" s="114" t="n">
        <f aca="false">ROUND('⚙ Config &amp; Assumptions'!B5*'⚙ Config &amp; Assumptions'!B8*(1-'⚙ Config &amp; Assumptions'!B22),0)</f>
        <v>78</v>
      </c>
      <c r="G10" s="104"/>
      <c r="H10" s="48" t="str">
        <f aca="false">IF(G10="","",G10-F10)</f>
        <v/>
      </c>
      <c r="I10" s="45" t="str">
        <f aca="false">IF(OR(G10="",F10=0),"",(G10-F10)/F10)</f>
        <v/>
      </c>
      <c r="J10" s="114" t="n">
        <f aca="false">ROUND('⚙ Config &amp; Assumptions'!B5*'⚙ Config &amp; Assumptions'!B9*(1-'⚙ Config &amp; Assumptions'!B22),0)</f>
        <v>67</v>
      </c>
      <c r="K10" s="104"/>
      <c r="L10" s="48" t="str">
        <f aca="false">IF(K10="","",K10-J10)</f>
        <v/>
      </c>
      <c r="M10" s="45" t="str">
        <f aca="false">IF(OR(K10="",J10=0),"",(K10-J10)/J10)</f>
        <v/>
      </c>
      <c r="N10" s="114" t="n">
        <f aca="false">ROUND('⚙ Config &amp; Assumptions'!B5*'⚙ Config &amp; Assumptions'!B10*(1-'⚙ Config &amp; Assumptions'!B22),0)</f>
        <v>78</v>
      </c>
      <c r="O10" s="104"/>
      <c r="P10" s="48" t="str">
        <f aca="false">IF(O10="","",O10-N10)</f>
        <v/>
      </c>
      <c r="Q10" s="45" t="str">
        <f aca="false">IF(OR(O10="",N10=0),"",(O10-N10)/N10)</f>
        <v/>
      </c>
      <c r="R10" s="114" t="n">
        <f aca="false">ROUND('⚙ Config &amp; Assumptions'!B5*'⚙ Config &amp; Assumptions'!B11*(1-'⚙ Config &amp; Assumptions'!B22),0)</f>
        <v>93</v>
      </c>
      <c r="S10" s="104"/>
      <c r="T10" s="48" t="str">
        <f aca="false">IF(S10="","",S10-R10)</f>
        <v/>
      </c>
      <c r="U10" s="45" t="str">
        <f aca="false">IF(OR(S10="",R10=0),"",(S10-R10)/R10)</f>
        <v/>
      </c>
      <c r="V10" s="114" t="n">
        <f aca="false">ROUND('⚙ Config &amp; Assumptions'!B5*'⚙ Config &amp; Assumptions'!B12*(1-'⚙ Config &amp; Assumptions'!B22),0)</f>
        <v>98</v>
      </c>
      <c r="W10" s="104"/>
      <c r="X10" s="48" t="str">
        <f aca="false">IF(W10="","",W10-V10)</f>
        <v/>
      </c>
      <c r="Y10" s="45" t="str">
        <f aca="false">IF(OR(W10="",V10=0),"",(W10-V10)/V10)</f>
        <v/>
      </c>
      <c r="Z10" s="114" t="n">
        <f aca="false">ROUND('⚙ Config &amp; Assumptions'!B5*'⚙ Config &amp; Assumptions'!B13*(1-'⚙ Config &amp; Assumptions'!B22),0)</f>
        <v>103</v>
      </c>
      <c r="AA10" s="104"/>
      <c r="AB10" s="48" t="str">
        <f aca="false">IF(AA10="","",AA10-Z10)</f>
        <v/>
      </c>
      <c r="AC10" s="45" t="str">
        <f aca="false">IF(OR(AA10="",Z10=0),"",(AA10-Z10)/Z10)</f>
        <v/>
      </c>
      <c r="AD10" s="114" t="n">
        <f aca="false">ROUND('⚙ Config &amp; Assumptions'!B5*'⚙ Config &amp; Assumptions'!B14*(1-'⚙ Config &amp; Assumptions'!B22),0)</f>
        <v>98</v>
      </c>
      <c r="AE10" s="104"/>
      <c r="AF10" s="48" t="str">
        <f aca="false">IF(AE10="","",AE10-AD10)</f>
        <v/>
      </c>
      <c r="AG10" s="45" t="str">
        <f aca="false">IF(OR(AE10="",AD10=0),"",(AE10-AD10)/AD10)</f>
        <v/>
      </c>
      <c r="AH10" s="114" t="n">
        <f aca="false">ROUND('⚙ Config &amp; Assumptions'!B5*'⚙ Config &amp; Assumptions'!B15*(1-'⚙ Config &amp; Assumptions'!B22),0)</f>
        <v>93</v>
      </c>
      <c r="AI10" s="104"/>
      <c r="AJ10" s="48" t="str">
        <f aca="false">IF(AI10="","",AI10-AH10)</f>
        <v/>
      </c>
      <c r="AK10" s="45" t="str">
        <f aca="false">IF(OR(AI10="",AH10=0),"",(AI10-AH10)/AH10)</f>
        <v/>
      </c>
      <c r="AL10" s="114" t="n">
        <f aca="false">ROUND('⚙ Config &amp; Assumptions'!B5*'⚙ Config &amp; Assumptions'!B16*(1-'⚙ Config &amp; Assumptions'!B22),0)</f>
        <v>93</v>
      </c>
      <c r="AM10" s="104"/>
      <c r="AN10" s="48" t="str">
        <f aca="false">IF(AM10="","",AM10-AL10)</f>
        <v/>
      </c>
      <c r="AO10" s="45" t="str">
        <f aca="false">IF(OR(AM10="",AL10=0),"",(AM10-AL10)/AL10)</f>
        <v/>
      </c>
      <c r="AP10" s="114" t="n">
        <f aca="false">ROUND('⚙ Config &amp; Assumptions'!B5*'⚙ Config &amp; Assumptions'!B17*(1-'⚙ Config &amp; Assumptions'!B22),0)</f>
        <v>88</v>
      </c>
      <c r="AQ10" s="104"/>
      <c r="AR10" s="48" t="str">
        <f aca="false">IF(AQ10="","",AQ10-AP10)</f>
        <v/>
      </c>
      <c r="AS10" s="45" t="str">
        <f aca="false">IF(OR(AQ10="",AP10=0),"",(AQ10-AP10)/AP10)</f>
        <v/>
      </c>
      <c r="AT10" s="114" t="n">
        <f aca="false">ROUND('⚙ Config &amp; Assumptions'!B5*'⚙ Config &amp; Assumptions'!B18*(1-'⚙ Config &amp; Assumptions'!B22),0)</f>
        <v>72</v>
      </c>
      <c r="AU10" s="104"/>
      <c r="AV10" s="48" t="str">
        <f aca="false">IF(AU10="","",AU10-AT10)</f>
        <v/>
      </c>
      <c r="AW10" s="45" t="str">
        <f aca="false">IF(OR(AU10="",AT10=0),"",(AU10-AT10)/AT10)</f>
        <v/>
      </c>
      <c r="AX10" s="115" t="n">
        <f aca="false">CHOOSE('⚙ Config &amp; Assumptions'!B41,B10,F10,J10,N10,R10,V10,Z10,AD10,AH10,AL10,AP10,AT10)</f>
        <v>72</v>
      </c>
      <c r="AY10" s="105" t="str">
        <f aca="false">IF(CHOOSE('⚙ Config &amp; Assumptions'!B41,C10,G10,K10,O10,S10,W10,AA10,AE10,AI10,AM10,AQ10,AU10)="","",CHOOSE('⚙ Config &amp; Assumptions'!B41,C10,G10,K10,O10,S10,W10,AA10,AE10,AI10,AM10,AQ10,AU10))</f>
        <v/>
      </c>
      <c r="AZ10" s="105" t="str">
        <f aca="false">IF(AY10="","",AY10-AX10)</f>
        <v/>
      </c>
      <c r="BA10" s="106" t="str">
        <f aca="false">IF(OR(AY10="",AX10=0),"",(AY10-AX10)/AX10)</f>
        <v/>
      </c>
      <c r="BB10" s="116" t="n">
        <f aca="false">IF('⚙ Config &amp; Assumptions'!B41&gt;=1,B10,0)+IF('⚙ Config &amp; Assumptions'!B41&gt;=2,F10,0)+IF('⚙ Config &amp; Assumptions'!B41&gt;=3,J10,0)+IF('⚙ Config &amp; Assumptions'!B41&gt;=4,N10,0)+IF('⚙ Config &amp; Assumptions'!B41&gt;=5,R10,0)+IF('⚙ Config &amp; Assumptions'!B41&gt;=6,V10,0)+IF('⚙ Config &amp; Assumptions'!B41&gt;=7,Z10,0)+IF('⚙ Config &amp; Assumptions'!B41&gt;=8,AD10,0)+IF('⚙ Config &amp; Assumptions'!B41&gt;=9,AH10,0)+IF('⚙ Config &amp; Assumptions'!B41&gt;=10,AL10,0)+IF('⚙ Config &amp; Assumptions'!B41&gt;=11,AP10,0)+IF('⚙ Config &amp; Assumptions'!B41&gt;=12,AT10,0)</f>
        <v>72</v>
      </c>
      <c r="BC10" s="107" t="n">
        <f aca="false">IF(AND('⚙ Config &amp; Assumptions'!B41&gt;=1,C10&lt;&gt;""),C10,0)+IF(AND('⚙ Config &amp; Assumptions'!B41&gt;=2,G10&lt;&gt;""),G10,0)+IF(AND('⚙ Config &amp; Assumptions'!B41&gt;=3,K10&lt;&gt;""),K10,0)+IF(AND('⚙ Config &amp; Assumptions'!B41&gt;=4,O10&lt;&gt;""),O10,0)+IF(AND('⚙ Config &amp; Assumptions'!B41&gt;=5,S10&lt;&gt;""),S10,0)+IF(AND('⚙ Config &amp; Assumptions'!B41&gt;=6,W10&lt;&gt;""),W10,0)+IF(AND('⚙ Config &amp; Assumptions'!B41&gt;=7,AA10&lt;&gt;""),AA10,0)+IF(AND('⚙ Config &amp; Assumptions'!B41&gt;=8,AE10&lt;&gt;""),AE10,0)+IF(AND('⚙ Config &amp; Assumptions'!B41&gt;=9,AI10&lt;&gt;""),AI10,0)+IF(AND('⚙ Config &amp; Assumptions'!B41&gt;=10,AM10&lt;&gt;""),AM10,0)+IF(AND('⚙ Config &amp; Assumptions'!B41&gt;=11,AQ10&lt;&gt;""),AQ10,0)+IF(AND('⚙ Config &amp; Assumptions'!B41&gt;=12,AU10&lt;&gt;""),AU10,0)</f>
        <v>0</v>
      </c>
      <c r="BD10" s="107" t="str">
        <f aca="false">IF(BC10=0,"",BC10-BB10)</f>
        <v/>
      </c>
      <c r="BE10" s="108" t="str">
        <f aca="false">IF(OR(BC10=0,BB10=0),"",(BC10-BB10)/BB10)</f>
        <v/>
      </c>
    </row>
    <row r="11" customFormat="false" ht="15" hidden="false" customHeight="true" outlineLevel="0" collapsed="false">
      <c r="A11" s="7" t="s">
        <v>442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</row>
    <row r="12" customFormat="false" ht="15" hidden="false" customHeight="true" outlineLevel="0" collapsed="false">
      <c r="A12" s="13" t="s">
        <v>354</v>
      </c>
      <c r="B12" s="91" t="n">
        <f aca="false">ROUND('⚙ Config &amp; Assumptions'!B5*'⚙ Config &amp; Assumptions'!B7*'⚙ Config &amp; Assumptions'!B21,0)</f>
        <v>12235</v>
      </c>
      <c r="C12" s="117"/>
      <c r="D12" s="91" t="str">
        <f aca="false">IF(C12="","",C12-B12)</f>
        <v/>
      </c>
      <c r="E12" s="45" t="str">
        <f aca="false">IF(OR(C12="",B12=0),"",(C12-B12)/B12)</f>
        <v/>
      </c>
      <c r="F12" s="91" t="n">
        <f aca="false">ROUND('⚙ Config &amp; Assumptions'!B5*'⚙ Config &amp; Assumptions'!B8*'⚙ Config &amp; Assumptions'!B21,0)</f>
        <v>13109</v>
      </c>
      <c r="G12" s="117"/>
      <c r="H12" s="91" t="str">
        <f aca="false">IF(G12="","",G12-F12)</f>
        <v/>
      </c>
      <c r="I12" s="45" t="str">
        <f aca="false">IF(OR(G12="",F12=0),"",(G12-F12)/F12)</f>
        <v/>
      </c>
      <c r="J12" s="91" t="n">
        <f aca="false">ROUND('⚙ Config &amp; Assumptions'!B5*'⚙ Config &amp; Assumptions'!B9*'⚙ Config &amp; Assumptions'!B21,0)</f>
        <v>11361</v>
      </c>
      <c r="K12" s="117"/>
      <c r="L12" s="91" t="str">
        <f aca="false">IF(K12="","",K12-J12)</f>
        <v/>
      </c>
      <c r="M12" s="45" t="str">
        <f aca="false">IF(OR(K12="",J12=0),"",(K12-J12)/J12)</f>
        <v/>
      </c>
      <c r="N12" s="91" t="n">
        <f aca="false">ROUND('⚙ Config &amp; Assumptions'!B5*'⚙ Config &amp; Assumptions'!B10*'⚙ Config &amp; Assumptions'!B21,0)</f>
        <v>13109</v>
      </c>
      <c r="O12" s="117"/>
      <c r="P12" s="91" t="str">
        <f aca="false">IF(O12="","",O12-N12)</f>
        <v/>
      </c>
      <c r="Q12" s="45" t="str">
        <f aca="false">IF(OR(O12="",N12=0),"",(O12-N12)/N12)</f>
        <v/>
      </c>
      <c r="R12" s="91" t="n">
        <f aca="false">ROUND('⚙ Config &amp; Assumptions'!B5*'⚙ Config &amp; Assumptions'!B11*'⚙ Config &amp; Assumptions'!B21,0)</f>
        <v>15731</v>
      </c>
      <c r="S12" s="117"/>
      <c r="T12" s="91" t="str">
        <f aca="false">IF(S12="","",S12-R12)</f>
        <v/>
      </c>
      <c r="U12" s="45" t="str">
        <f aca="false">IF(OR(S12="",R12=0),"",(S12-R12)/R12)</f>
        <v/>
      </c>
      <c r="V12" s="91" t="n">
        <f aca="false">ROUND('⚙ Config &amp; Assumptions'!B5*'⚙ Config &amp; Assumptions'!B12*'⚙ Config &amp; Assumptions'!B21,0)</f>
        <v>16604</v>
      </c>
      <c r="W12" s="117"/>
      <c r="X12" s="91" t="str">
        <f aca="false">IF(W12="","",W12-V12)</f>
        <v/>
      </c>
      <c r="Y12" s="45" t="str">
        <f aca="false">IF(OR(W12="",V12=0),"",(W12-V12)/V12)</f>
        <v/>
      </c>
      <c r="Z12" s="91" t="n">
        <f aca="false">ROUND('⚙ Config &amp; Assumptions'!B5*'⚙ Config &amp; Assumptions'!B13*'⚙ Config &amp; Assumptions'!B21,0)</f>
        <v>17478</v>
      </c>
      <c r="AA12" s="117"/>
      <c r="AB12" s="91" t="str">
        <f aca="false">IF(AA12="","",AA12-Z12)</f>
        <v/>
      </c>
      <c r="AC12" s="45" t="str">
        <f aca="false">IF(OR(AA12="",Z12=0),"",(AA12-Z12)/Z12)</f>
        <v/>
      </c>
      <c r="AD12" s="91" t="n">
        <f aca="false">ROUND('⚙ Config &amp; Assumptions'!B5*'⚙ Config &amp; Assumptions'!B14*'⚙ Config &amp; Assumptions'!B21,0)</f>
        <v>16604</v>
      </c>
      <c r="AE12" s="117"/>
      <c r="AF12" s="91" t="str">
        <f aca="false">IF(AE12="","",AE12-AD12)</f>
        <v/>
      </c>
      <c r="AG12" s="45" t="str">
        <f aca="false">IF(OR(AE12="",AD12=0),"",(AE12-AD12)/AD12)</f>
        <v/>
      </c>
      <c r="AH12" s="91" t="n">
        <f aca="false">ROUND('⚙ Config &amp; Assumptions'!B5*'⚙ Config &amp; Assumptions'!B15*'⚙ Config &amp; Assumptions'!B21,0)</f>
        <v>15731</v>
      </c>
      <c r="AI12" s="117"/>
      <c r="AJ12" s="91" t="str">
        <f aca="false">IF(AI12="","",AI12-AH12)</f>
        <v/>
      </c>
      <c r="AK12" s="45" t="str">
        <f aca="false">IF(OR(AI12="",AH12=0),"",(AI12-AH12)/AH12)</f>
        <v/>
      </c>
      <c r="AL12" s="91" t="n">
        <f aca="false">ROUND('⚙ Config &amp; Assumptions'!B5*'⚙ Config &amp; Assumptions'!B16*'⚙ Config &amp; Assumptions'!B21,0)</f>
        <v>15731</v>
      </c>
      <c r="AM12" s="117"/>
      <c r="AN12" s="91" t="str">
        <f aca="false">IF(AM12="","",AM12-AL12)</f>
        <v/>
      </c>
      <c r="AO12" s="45" t="str">
        <f aca="false">IF(OR(AM12="",AL12=0),"",(AM12-AL12)/AL12)</f>
        <v/>
      </c>
      <c r="AP12" s="91" t="n">
        <f aca="false">ROUND('⚙ Config &amp; Assumptions'!B5*'⚙ Config &amp; Assumptions'!B17*'⚙ Config &amp; Assumptions'!B21,0)</f>
        <v>14857</v>
      </c>
      <c r="AQ12" s="117"/>
      <c r="AR12" s="91" t="str">
        <f aca="false">IF(AQ12="","",AQ12-AP12)</f>
        <v/>
      </c>
      <c r="AS12" s="45" t="str">
        <f aca="false">IF(OR(AQ12="",AP12=0),"",(AQ12-AP12)/AP12)</f>
        <v/>
      </c>
      <c r="AT12" s="91" t="n">
        <f aca="false">ROUND('⚙ Config &amp; Assumptions'!B5*'⚙ Config &amp; Assumptions'!B18*'⚙ Config &amp; Assumptions'!B21,0)</f>
        <v>12235</v>
      </c>
      <c r="AU12" s="117"/>
      <c r="AV12" s="91" t="str">
        <f aca="false">IF(AU12="","",AU12-AT12)</f>
        <v/>
      </c>
      <c r="AW12" s="45" t="str">
        <f aca="false">IF(OR(AU12="",AT12=0),"",(AU12-AT12)/AT12)</f>
        <v/>
      </c>
      <c r="AX12" s="118" t="n">
        <f aca="false">CHOOSE('⚙ Config &amp; Assumptions'!B41,B12,F12,J12,N12,R12,V12,Z12,AD12,AH12,AL12,AP12,AT12)</f>
        <v>12235</v>
      </c>
      <c r="AY12" s="118" t="str">
        <f aca="false">IF(CHOOSE('⚙ Config &amp; Assumptions'!B41,C12,G12,K12,O12,S12,W12,AA12,AE12,AI12,AM12,AQ12,AU12)="","",CHOOSE('⚙ Config &amp; Assumptions'!B41,C12,G12,K12,O12,S12,W12,AA12,AE12,AI12,AM12,AQ12,AU12))</f>
        <v/>
      </c>
      <c r="AZ12" s="118" t="str">
        <f aca="false">IF(AY12="","",AY12-AX12)</f>
        <v/>
      </c>
      <c r="BA12" s="106" t="str">
        <f aca="false">IF(OR(AY12="",AX12=0),"",(AY12-AX12)/AX12)</f>
        <v/>
      </c>
      <c r="BB12" s="119" t="n">
        <f aca="false">IF('⚙ Config &amp; Assumptions'!B41&gt;=1,B12,0)+IF('⚙ Config &amp; Assumptions'!B41&gt;=2,F12,0)+IF('⚙ Config &amp; Assumptions'!B41&gt;=3,J12,0)+IF('⚙ Config &amp; Assumptions'!B41&gt;=4,N12,0)+IF('⚙ Config &amp; Assumptions'!B41&gt;=5,R12,0)+IF('⚙ Config &amp; Assumptions'!B41&gt;=6,V12,0)+IF('⚙ Config &amp; Assumptions'!B41&gt;=7,Z12,0)+IF('⚙ Config &amp; Assumptions'!B41&gt;=8,AD12,0)+IF('⚙ Config &amp; Assumptions'!B41&gt;=9,AH12,0)+IF('⚙ Config &amp; Assumptions'!B41&gt;=10,AL12,0)+IF('⚙ Config &amp; Assumptions'!B41&gt;=11,AP12,0)+IF('⚙ Config &amp; Assumptions'!B41&gt;=12,AT12,0)</f>
        <v>12235</v>
      </c>
      <c r="BC12" s="119" t="n">
        <f aca="false">IF(AND('⚙ Config &amp; Assumptions'!B41&gt;=1,C12&lt;&gt;""),C12,0)+IF(AND('⚙ Config &amp; Assumptions'!B41&gt;=2,G12&lt;&gt;""),G12,0)+IF(AND('⚙ Config &amp; Assumptions'!B41&gt;=3,K12&lt;&gt;""),K12,0)+IF(AND('⚙ Config &amp; Assumptions'!B41&gt;=4,O12&lt;&gt;""),O12,0)+IF(AND('⚙ Config &amp; Assumptions'!B41&gt;=5,S12&lt;&gt;""),S12,0)+IF(AND('⚙ Config &amp; Assumptions'!B41&gt;=6,W12&lt;&gt;""),W12,0)+IF(AND('⚙ Config &amp; Assumptions'!B41&gt;=7,AA12&lt;&gt;""),AA12,0)+IF(AND('⚙ Config &amp; Assumptions'!B41&gt;=8,AE12&lt;&gt;""),AE12,0)+IF(AND('⚙ Config &amp; Assumptions'!B41&gt;=9,AI12&lt;&gt;""),AI12,0)+IF(AND('⚙ Config &amp; Assumptions'!B41&gt;=10,AM12&lt;&gt;""),AM12,0)+IF(AND('⚙ Config &amp; Assumptions'!B41&gt;=11,AQ12&lt;&gt;""),AQ12,0)+IF(AND('⚙ Config &amp; Assumptions'!B41&gt;=12,AU12&lt;&gt;""),AU12,0)</f>
        <v>0</v>
      </c>
      <c r="BD12" s="119" t="str">
        <f aca="false">IF(BC12=0,"",BC12-BB12)</f>
        <v/>
      </c>
      <c r="BE12" s="108" t="str">
        <f aca="false">IF(OR(BC12=0,BB12=0),"",(BC12-BB12)/BB12)</f>
        <v/>
      </c>
    </row>
    <row r="13" customFormat="false" ht="15" hidden="false" customHeight="true" outlineLevel="0" collapsed="false">
      <c r="A13" s="13" t="s">
        <v>443</v>
      </c>
      <c r="B13" s="91" t="n">
        <f aca="false">ROUND('⚙ Config &amp; Assumptions'!B5*'⚙ Config &amp; Assumptions'!B7*'⚙ Config &amp; Assumptions'!B22*'⚙ Config &amp; Assumptions'!B21,0)</f>
        <v>970</v>
      </c>
      <c r="C13" s="117"/>
      <c r="D13" s="91" t="str">
        <f aca="false">IF(C13="","",C13-B13)</f>
        <v/>
      </c>
      <c r="E13" s="45" t="str">
        <f aca="false">IF(OR(C13="",B13=0),"",(C13-B13)/B13)</f>
        <v/>
      </c>
      <c r="F13" s="91" t="n">
        <f aca="false">ROUND('⚙ Config &amp; Assumptions'!B5*'⚙ Config &amp; Assumptions'!B8*'⚙ Config &amp; Assumptions'!B22*'⚙ Config &amp; Assumptions'!B21,0)</f>
        <v>1040</v>
      </c>
      <c r="G13" s="117"/>
      <c r="H13" s="91" t="str">
        <f aca="false">IF(G13="","",G13-F13)</f>
        <v/>
      </c>
      <c r="I13" s="45" t="str">
        <f aca="false">IF(OR(G13="",F13=0),"",(G13-F13)/F13)</f>
        <v/>
      </c>
      <c r="J13" s="91" t="n">
        <f aca="false">ROUND('⚙ Config &amp; Assumptions'!B5*'⚙ Config &amp; Assumptions'!B9*'⚙ Config &amp; Assumptions'!B22*'⚙ Config &amp; Assumptions'!B21,0)</f>
        <v>901</v>
      </c>
      <c r="K13" s="117"/>
      <c r="L13" s="91" t="str">
        <f aca="false">IF(K13="","",K13-J13)</f>
        <v/>
      </c>
      <c r="M13" s="45" t="str">
        <f aca="false">IF(OR(K13="",J13=0),"",(K13-J13)/J13)</f>
        <v/>
      </c>
      <c r="N13" s="91" t="n">
        <f aca="false">ROUND('⚙ Config &amp; Assumptions'!B5*'⚙ Config &amp; Assumptions'!B10*'⚙ Config &amp; Assumptions'!B22*'⚙ Config &amp; Assumptions'!B21,0)</f>
        <v>1040</v>
      </c>
      <c r="O13" s="117"/>
      <c r="P13" s="91" t="str">
        <f aca="false">IF(O13="","",O13-N13)</f>
        <v/>
      </c>
      <c r="Q13" s="45" t="str">
        <f aca="false">IF(OR(O13="",N13=0),"",(O13-N13)/N13)</f>
        <v/>
      </c>
      <c r="R13" s="91" t="n">
        <f aca="false">ROUND('⚙ Config &amp; Assumptions'!B5*'⚙ Config &amp; Assumptions'!B11*'⚙ Config &amp; Assumptions'!B22*'⚙ Config &amp; Assumptions'!B21,0)</f>
        <v>1247</v>
      </c>
      <c r="S13" s="117"/>
      <c r="T13" s="91" t="str">
        <f aca="false">IF(S13="","",S13-R13)</f>
        <v/>
      </c>
      <c r="U13" s="45" t="str">
        <f aca="false">IF(OR(S13="",R13=0),"",(S13-R13)/R13)</f>
        <v/>
      </c>
      <c r="V13" s="91" t="n">
        <f aca="false">ROUND('⚙ Config &amp; Assumptions'!B5*'⚙ Config &amp; Assumptions'!B12*'⚙ Config &amp; Assumptions'!B22*'⚙ Config &amp; Assumptions'!B21,0)</f>
        <v>1317</v>
      </c>
      <c r="W13" s="117"/>
      <c r="X13" s="91" t="str">
        <f aca="false">IF(W13="","",W13-V13)</f>
        <v/>
      </c>
      <c r="Y13" s="45" t="str">
        <f aca="false">IF(OR(W13="",V13=0),"",(W13-V13)/V13)</f>
        <v/>
      </c>
      <c r="Z13" s="91" t="n">
        <f aca="false">ROUND('⚙ Config &amp; Assumptions'!B5*'⚙ Config &amp; Assumptions'!B13*'⚙ Config &amp; Assumptions'!B22*'⚙ Config &amp; Assumptions'!B21,0)</f>
        <v>1386</v>
      </c>
      <c r="AA13" s="117"/>
      <c r="AB13" s="91" t="str">
        <f aca="false">IF(AA13="","",AA13-Z13)</f>
        <v/>
      </c>
      <c r="AC13" s="45" t="str">
        <f aca="false">IF(OR(AA13="",Z13=0),"",(AA13-Z13)/Z13)</f>
        <v/>
      </c>
      <c r="AD13" s="91" t="n">
        <f aca="false">ROUND('⚙ Config &amp; Assumptions'!B5*'⚙ Config &amp; Assumptions'!B14*'⚙ Config &amp; Assumptions'!B22*'⚙ Config &amp; Assumptions'!B21,0)</f>
        <v>1317</v>
      </c>
      <c r="AE13" s="117"/>
      <c r="AF13" s="91" t="str">
        <f aca="false">IF(AE13="","",AE13-AD13)</f>
        <v/>
      </c>
      <c r="AG13" s="45" t="str">
        <f aca="false">IF(OR(AE13="",AD13=0),"",(AE13-AD13)/AD13)</f>
        <v/>
      </c>
      <c r="AH13" s="91" t="n">
        <f aca="false">ROUND('⚙ Config &amp; Assumptions'!B5*'⚙ Config &amp; Assumptions'!B15*'⚙ Config &amp; Assumptions'!B22*'⚙ Config &amp; Assumptions'!B21,0)</f>
        <v>1247</v>
      </c>
      <c r="AI13" s="117"/>
      <c r="AJ13" s="91" t="str">
        <f aca="false">IF(AI13="","",AI13-AH13)</f>
        <v/>
      </c>
      <c r="AK13" s="45" t="str">
        <f aca="false">IF(OR(AI13="",AH13=0),"",(AI13-AH13)/AH13)</f>
        <v/>
      </c>
      <c r="AL13" s="91" t="n">
        <f aca="false">ROUND('⚙ Config &amp; Assumptions'!B5*'⚙ Config &amp; Assumptions'!B16*'⚙ Config &amp; Assumptions'!B22*'⚙ Config &amp; Assumptions'!B21,0)</f>
        <v>1247</v>
      </c>
      <c r="AM13" s="117"/>
      <c r="AN13" s="91" t="str">
        <f aca="false">IF(AM13="","",AM13-AL13)</f>
        <v/>
      </c>
      <c r="AO13" s="45" t="str">
        <f aca="false">IF(OR(AM13="",AL13=0),"",(AM13-AL13)/AL13)</f>
        <v/>
      </c>
      <c r="AP13" s="91" t="n">
        <f aca="false">ROUND('⚙ Config &amp; Assumptions'!B5*'⚙ Config &amp; Assumptions'!B17*'⚙ Config &amp; Assumptions'!B22*'⚙ Config &amp; Assumptions'!B21,0)</f>
        <v>1178</v>
      </c>
      <c r="AQ13" s="117"/>
      <c r="AR13" s="91" t="str">
        <f aca="false">IF(AQ13="","",AQ13-AP13)</f>
        <v/>
      </c>
      <c r="AS13" s="45" t="str">
        <f aca="false">IF(OR(AQ13="",AP13=0),"",(AQ13-AP13)/AP13)</f>
        <v/>
      </c>
      <c r="AT13" s="91" t="n">
        <f aca="false">ROUND('⚙ Config &amp; Assumptions'!B5*'⚙ Config &amp; Assumptions'!B18*'⚙ Config &amp; Assumptions'!B22*'⚙ Config &amp; Assumptions'!B21,0)</f>
        <v>970</v>
      </c>
      <c r="AU13" s="117"/>
      <c r="AV13" s="91" t="str">
        <f aca="false">IF(AU13="","",AU13-AT13)</f>
        <v/>
      </c>
      <c r="AW13" s="45" t="str">
        <f aca="false">IF(OR(AU13="",AT13=0),"",(AU13-AT13)/AT13)</f>
        <v/>
      </c>
      <c r="AX13" s="118" t="n">
        <f aca="false">CHOOSE('⚙ Config &amp; Assumptions'!B41,B13,F13,J13,N13,R13,V13,Z13,AD13,AH13,AL13,AP13,AT13)</f>
        <v>970</v>
      </c>
      <c r="AY13" s="118" t="str">
        <f aca="false">IF(CHOOSE('⚙ Config &amp; Assumptions'!B41,C13,G13,K13,O13,S13,W13,AA13,AE13,AI13,AM13,AQ13,AU13)="","",CHOOSE('⚙ Config &amp; Assumptions'!B41,C13,G13,K13,O13,S13,W13,AA13,AE13,AI13,AM13,AQ13,AU13))</f>
        <v/>
      </c>
      <c r="AZ13" s="118" t="str">
        <f aca="false">IF(AY13="","",AY13-AX13)</f>
        <v/>
      </c>
      <c r="BA13" s="106" t="str">
        <f aca="false">IF(OR(AY13="",AX13=0),"",(AY13-AX13)/AX13)</f>
        <v/>
      </c>
      <c r="BB13" s="119" t="n">
        <f aca="false">IF('⚙ Config &amp; Assumptions'!B41&gt;=1,B13,0)+IF('⚙ Config &amp; Assumptions'!B41&gt;=2,F13,0)+IF('⚙ Config &amp; Assumptions'!B41&gt;=3,J13,0)+IF('⚙ Config &amp; Assumptions'!B41&gt;=4,N13,0)+IF('⚙ Config &amp; Assumptions'!B41&gt;=5,R13,0)+IF('⚙ Config &amp; Assumptions'!B41&gt;=6,V13,0)+IF('⚙ Config &amp; Assumptions'!B41&gt;=7,Z13,0)+IF('⚙ Config &amp; Assumptions'!B41&gt;=8,AD13,0)+IF('⚙ Config &amp; Assumptions'!B41&gt;=9,AH13,0)+IF('⚙ Config &amp; Assumptions'!B41&gt;=10,AL13,0)+IF('⚙ Config &amp; Assumptions'!B41&gt;=11,AP13,0)+IF('⚙ Config &amp; Assumptions'!B41&gt;=12,AT13,0)</f>
        <v>970</v>
      </c>
      <c r="BC13" s="119" t="n">
        <f aca="false">IF(AND('⚙ Config &amp; Assumptions'!B41&gt;=1,C13&lt;&gt;""),C13,0)+IF(AND('⚙ Config &amp; Assumptions'!B41&gt;=2,G13&lt;&gt;""),G13,0)+IF(AND('⚙ Config &amp; Assumptions'!B41&gt;=3,K13&lt;&gt;""),K13,0)+IF(AND('⚙ Config &amp; Assumptions'!B41&gt;=4,O13&lt;&gt;""),O13,0)+IF(AND('⚙ Config &amp; Assumptions'!B41&gt;=5,S13&lt;&gt;""),S13,0)+IF(AND('⚙ Config &amp; Assumptions'!B41&gt;=6,W13&lt;&gt;""),W13,0)+IF(AND('⚙ Config &amp; Assumptions'!B41&gt;=7,AA13&lt;&gt;""),AA13,0)+IF(AND('⚙ Config &amp; Assumptions'!B41&gt;=8,AE13&lt;&gt;""),AE13,0)+IF(AND('⚙ Config &amp; Assumptions'!B41&gt;=9,AI13&lt;&gt;""),AI13,0)+IF(AND('⚙ Config &amp; Assumptions'!B41&gt;=10,AM13&lt;&gt;""),AM13,0)+IF(AND('⚙ Config &amp; Assumptions'!B41&gt;=11,AQ13&lt;&gt;""),AQ13,0)+IF(AND('⚙ Config &amp; Assumptions'!B41&gt;=12,AU13&lt;&gt;""),AU13,0)</f>
        <v>0</v>
      </c>
      <c r="BD13" s="119" t="str">
        <f aca="false">IF(BC13=0,"",BC13-BB13)</f>
        <v/>
      </c>
      <c r="BE13" s="108" t="str">
        <f aca="false">IF(OR(BC13=0,BB13=0),"",(BC13-BB13)/BB13)</f>
        <v/>
      </c>
    </row>
    <row r="14" customFormat="false" ht="15" hidden="false" customHeight="true" outlineLevel="0" collapsed="false">
      <c r="A14" s="113" t="s">
        <v>444</v>
      </c>
      <c r="B14" s="120" t="n">
        <f aca="false">ROUND('⚙ Config &amp; Assumptions'!B5*'⚙ Config &amp; Assumptions'!B7*(1-'⚙ Config &amp; Assumptions'!B22)*'⚙ Config &amp; Assumptions'!B21,0)</f>
        <v>11265</v>
      </c>
      <c r="C14" s="117"/>
      <c r="D14" s="91" t="str">
        <f aca="false">IF(C14="","",C14-B14)</f>
        <v/>
      </c>
      <c r="E14" s="45" t="str">
        <f aca="false">IF(OR(C14="",B14=0),"",(C14-B14)/B14)</f>
        <v/>
      </c>
      <c r="F14" s="120" t="n">
        <f aca="false">ROUND('⚙ Config &amp; Assumptions'!B5*'⚙ Config &amp; Assumptions'!B8*(1-'⚙ Config &amp; Assumptions'!B22)*'⚙ Config &amp; Assumptions'!B21,0)</f>
        <v>12069</v>
      </c>
      <c r="G14" s="117"/>
      <c r="H14" s="91" t="str">
        <f aca="false">IF(G14="","",G14-F14)</f>
        <v/>
      </c>
      <c r="I14" s="45" t="str">
        <f aca="false">IF(OR(G14="",F14=0),"",(G14-F14)/F14)</f>
        <v/>
      </c>
      <c r="J14" s="120" t="n">
        <f aca="false">ROUND('⚙ Config &amp; Assumptions'!B5*'⚙ Config &amp; Assumptions'!B9*(1-'⚙ Config &amp; Assumptions'!B22)*'⚙ Config &amp; Assumptions'!B21,0)</f>
        <v>10460</v>
      </c>
      <c r="K14" s="117"/>
      <c r="L14" s="91" t="str">
        <f aca="false">IF(K14="","",K14-J14)</f>
        <v/>
      </c>
      <c r="M14" s="45" t="str">
        <f aca="false">IF(OR(K14="",J14=0),"",(K14-J14)/J14)</f>
        <v/>
      </c>
      <c r="N14" s="120" t="n">
        <f aca="false">ROUND('⚙ Config &amp; Assumptions'!B5*'⚙ Config &amp; Assumptions'!B10*(1-'⚙ Config &amp; Assumptions'!B22)*'⚙ Config &amp; Assumptions'!B21,0)</f>
        <v>12069</v>
      </c>
      <c r="O14" s="117"/>
      <c r="P14" s="91" t="str">
        <f aca="false">IF(O14="","",O14-N14)</f>
        <v/>
      </c>
      <c r="Q14" s="45" t="str">
        <f aca="false">IF(OR(O14="",N14=0),"",(O14-N14)/N14)</f>
        <v/>
      </c>
      <c r="R14" s="120" t="n">
        <f aca="false">ROUND('⚙ Config &amp; Assumptions'!B5*'⚙ Config &amp; Assumptions'!B11*(1-'⚙ Config &amp; Assumptions'!B22)*'⚙ Config &amp; Assumptions'!B21,0)</f>
        <v>14483</v>
      </c>
      <c r="S14" s="117"/>
      <c r="T14" s="91" t="str">
        <f aca="false">IF(S14="","",S14-R14)</f>
        <v/>
      </c>
      <c r="U14" s="45" t="str">
        <f aca="false">IF(OR(S14="",R14=0),"",(S14-R14)/R14)</f>
        <v/>
      </c>
      <c r="V14" s="120" t="n">
        <f aca="false">ROUND('⚙ Config &amp; Assumptions'!B5*'⚙ Config &amp; Assumptions'!B12*(1-'⚙ Config &amp; Assumptions'!B22)*'⚙ Config &amp; Assumptions'!B21,0)</f>
        <v>15288</v>
      </c>
      <c r="W14" s="117"/>
      <c r="X14" s="91" t="str">
        <f aca="false">IF(W14="","",W14-V14)</f>
        <v/>
      </c>
      <c r="Y14" s="45" t="str">
        <f aca="false">IF(OR(W14="",V14=0),"",(W14-V14)/V14)</f>
        <v/>
      </c>
      <c r="Z14" s="120" t="n">
        <f aca="false">ROUND('⚙ Config &amp; Assumptions'!B5*'⚙ Config &amp; Assumptions'!B13*(1-'⚙ Config &amp; Assumptions'!B22)*'⚙ Config &amp; Assumptions'!B21,0)</f>
        <v>16092</v>
      </c>
      <c r="AA14" s="117"/>
      <c r="AB14" s="91" t="str">
        <f aca="false">IF(AA14="","",AA14-Z14)</f>
        <v/>
      </c>
      <c r="AC14" s="45" t="str">
        <f aca="false">IF(OR(AA14="",Z14=0),"",(AA14-Z14)/Z14)</f>
        <v/>
      </c>
      <c r="AD14" s="120" t="n">
        <f aca="false">ROUND('⚙ Config &amp; Assumptions'!B5*'⚙ Config &amp; Assumptions'!B14*(1-'⚙ Config &amp; Assumptions'!B22)*'⚙ Config &amp; Assumptions'!B21,0)</f>
        <v>15288</v>
      </c>
      <c r="AE14" s="117"/>
      <c r="AF14" s="91" t="str">
        <f aca="false">IF(AE14="","",AE14-AD14)</f>
        <v/>
      </c>
      <c r="AG14" s="45" t="str">
        <f aca="false">IF(OR(AE14="",AD14=0),"",(AE14-AD14)/AD14)</f>
        <v/>
      </c>
      <c r="AH14" s="120" t="n">
        <f aca="false">ROUND('⚙ Config &amp; Assumptions'!B5*'⚙ Config &amp; Assumptions'!B15*(1-'⚙ Config &amp; Assumptions'!B22)*'⚙ Config &amp; Assumptions'!B21,0)</f>
        <v>14483</v>
      </c>
      <c r="AI14" s="117"/>
      <c r="AJ14" s="91" t="str">
        <f aca="false">IF(AI14="","",AI14-AH14)</f>
        <v/>
      </c>
      <c r="AK14" s="45" t="str">
        <f aca="false">IF(OR(AI14="",AH14=0),"",(AI14-AH14)/AH14)</f>
        <v/>
      </c>
      <c r="AL14" s="120" t="n">
        <f aca="false">ROUND('⚙ Config &amp; Assumptions'!B5*'⚙ Config &amp; Assumptions'!B16*(1-'⚙ Config &amp; Assumptions'!B22)*'⚙ Config &amp; Assumptions'!B21,0)</f>
        <v>14483</v>
      </c>
      <c r="AM14" s="117"/>
      <c r="AN14" s="91" t="str">
        <f aca="false">IF(AM14="","",AM14-AL14)</f>
        <v/>
      </c>
      <c r="AO14" s="45" t="str">
        <f aca="false">IF(OR(AM14="",AL14=0),"",(AM14-AL14)/AL14)</f>
        <v/>
      </c>
      <c r="AP14" s="120" t="n">
        <f aca="false">ROUND('⚙ Config &amp; Assumptions'!B5*'⚙ Config &amp; Assumptions'!B17*(1-'⚙ Config &amp; Assumptions'!B22)*'⚙ Config &amp; Assumptions'!B21,0)</f>
        <v>13678</v>
      </c>
      <c r="AQ14" s="117"/>
      <c r="AR14" s="91" t="str">
        <f aca="false">IF(AQ14="","",AQ14-AP14)</f>
        <v/>
      </c>
      <c r="AS14" s="45" t="str">
        <f aca="false">IF(OR(AQ14="",AP14=0),"",(AQ14-AP14)/AP14)</f>
        <v/>
      </c>
      <c r="AT14" s="120" t="n">
        <f aca="false">ROUND('⚙ Config &amp; Assumptions'!B5*'⚙ Config &amp; Assumptions'!B18*(1-'⚙ Config &amp; Assumptions'!B22)*'⚙ Config &amp; Assumptions'!B21,0)</f>
        <v>11265</v>
      </c>
      <c r="AU14" s="117"/>
      <c r="AV14" s="91" t="str">
        <f aca="false">IF(AU14="","",AU14-AT14)</f>
        <v/>
      </c>
      <c r="AW14" s="45" t="str">
        <f aca="false">IF(OR(AU14="",AT14=0),"",(AU14-AT14)/AT14)</f>
        <v/>
      </c>
      <c r="AX14" s="121" t="n">
        <f aca="false">CHOOSE('⚙ Config &amp; Assumptions'!B41,B14,F14,J14,N14,R14,V14,Z14,AD14,AH14,AL14,AP14,AT14)</f>
        <v>11265</v>
      </c>
      <c r="AY14" s="118" t="str">
        <f aca="false">IF(CHOOSE('⚙ Config &amp; Assumptions'!B41,C14,G14,K14,O14,S14,W14,AA14,AE14,AI14,AM14,AQ14,AU14)="","",CHOOSE('⚙ Config &amp; Assumptions'!B41,C14,G14,K14,O14,S14,W14,AA14,AE14,AI14,AM14,AQ14,AU14))</f>
        <v/>
      </c>
      <c r="AZ14" s="118" t="str">
        <f aca="false">IF(AY14="","",AY14-AX14)</f>
        <v/>
      </c>
      <c r="BA14" s="106" t="str">
        <f aca="false">IF(OR(AY14="",AX14=0),"",(AY14-AX14)/AX14)</f>
        <v/>
      </c>
      <c r="BB14" s="122" t="n">
        <f aca="false">IF('⚙ Config &amp; Assumptions'!B41&gt;=1,B14,0)+IF('⚙ Config &amp; Assumptions'!B41&gt;=2,F14,0)+IF('⚙ Config &amp; Assumptions'!B41&gt;=3,J14,0)+IF('⚙ Config &amp; Assumptions'!B41&gt;=4,N14,0)+IF('⚙ Config &amp; Assumptions'!B41&gt;=5,R14,0)+IF('⚙ Config &amp; Assumptions'!B41&gt;=6,V14,0)+IF('⚙ Config &amp; Assumptions'!B41&gt;=7,Z14,0)+IF('⚙ Config &amp; Assumptions'!B41&gt;=8,AD14,0)+IF('⚙ Config &amp; Assumptions'!B41&gt;=9,AH14,0)+IF('⚙ Config &amp; Assumptions'!B41&gt;=10,AL14,0)+IF('⚙ Config &amp; Assumptions'!B41&gt;=11,AP14,0)+IF('⚙ Config &amp; Assumptions'!B41&gt;=12,AT14,0)</f>
        <v>11265</v>
      </c>
      <c r="BC14" s="119" t="n">
        <f aca="false">IF(AND('⚙ Config &amp; Assumptions'!B41&gt;=1,C14&lt;&gt;""),C14,0)+IF(AND('⚙ Config &amp; Assumptions'!B41&gt;=2,G14&lt;&gt;""),G14,0)+IF(AND('⚙ Config &amp; Assumptions'!B41&gt;=3,K14&lt;&gt;""),K14,0)+IF(AND('⚙ Config &amp; Assumptions'!B41&gt;=4,O14&lt;&gt;""),O14,0)+IF(AND('⚙ Config &amp; Assumptions'!B41&gt;=5,S14&lt;&gt;""),S14,0)+IF(AND('⚙ Config &amp; Assumptions'!B41&gt;=6,W14&lt;&gt;""),W14,0)+IF(AND('⚙ Config &amp; Assumptions'!B41&gt;=7,AA14&lt;&gt;""),AA14,0)+IF(AND('⚙ Config &amp; Assumptions'!B41&gt;=8,AE14&lt;&gt;""),AE14,0)+IF(AND('⚙ Config &amp; Assumptions'!B41&gt;=9,AI14&lt;&gt;""),AI14,0)+IF(AND('⚙ Config &amp; Assumptions'!B41&gt;=10,AM14&lt;&gt;""),AM14,0)+IF(AND('⚙ Config &amp; Assumptions'!B41&gt;=11,AQ14&lt;&gt;""),AQ14,0)+IF(AND('⚙ Config &amp; Assumptions'!B41&gt;=12,AU14&lt;&gt;""),AU14,0)</f>
        <v>0</v>
      </c>
      <c r="BD14" s="119" t="str">
        <f aca="false">IF(BC14=0,"",BC14-BB14)</f>
        <v/>
      </c>
      <c r="BE14" s="108" t="str">
        <f aca="false">IF(OR(BC14=0,BB14=0),"",(BC14-BB14)/BB14)</f>
        <v/>
      </c>
    </row>
    <row r="15" customFormat="false" ht="15" hidden="false" customHeight="true" outlineLevel="0" collapsed="false">
      <c r="A15" s="7" t="s">
        <v>445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</row>
    <row r="16" customFormat="false" ht="15" hidden="false" customHeight="true" outlineLevel="0" collapsed="false">
      <c r="A16" s="13" t="s">
        <v>361</v>
      </c>
      <c r="B16" s="91" t="n">
        <f aca="false">ROUND('⚙ Config &amp; Assumptions'!B5*'⚙ Config &amp; Assumptions'!B7*(1-'⚙ Config &amp; Assumptions'!B22)*'⚙ Config &amp; Assumptions'!B24,0)</f>
        <v>6633</v>
      </c>
      <c r="C16" s="117"/>
      <c r="D16" s="91" t="str">
        <f aca="false">IF(C16="","",C16-B16)</f>
        <v/>
      </c>
      <c r="E16" s="45" t="str">
        <f aca="false">IF(OR(C16="",B16=0),"",(C16-B16)/B16)</f>
        <v/>
      </c>
      <c r="F16" s="91" t="n">
        <f aca="false">ROUND('⚙ Config &amp; Assumptions'!B5*'⚙ Config &amp; Assumptions'!B8*(1-'⚙ Config &amp; Assumptions'!B22)*'⚙ Config &amp; Assumptions'!B24,0)</f>
        <v>7107</v>
      </c>
      <c r="G16" s="117"/>
      <c r="H16" s="91" t="str">
        <f aca="false">IF(G16="","",G16-F16)</f>
        <v/>
      </c>
      <c r="I16" s="45" t="str">
        <f aca="false">IF(OR(G16="",F16=0),"",(G16-F16)/F16)</f>
        <v/>
      </c>
      <c r="J16" s="91" t="n">
        <f aca="false">ROUND('⚙ Config &amp; Assumptions'!B5*'⚙ Config &amp; Assumptions'!B9*(1-'⚙ Config &amp; Assumptions'!B22)*'⚙ Config &amp; Assumptions'!B24,0)</f>
        <v>6159</v>
      </c>
      <c r="K16" s="117"/>
      <c r="L16" s="91" t="str">
        <f aca="false">IF(K16="","",K16-J16)</f>
        <v/>
      </c>
      <c r="M16" s="45" t="str">
        <f aca="false">IF(OR(K16="",J16=0),"",(K16-J16)/J16)</f>
        <v/>
      </c>
      <c r="N16" s="91" t="n">
        <f aca="false">ROUND('⚙ Config &amp; Assumptions'!B5*'⚙ Config &amp; Assumptions'!B10*(1-'⚙ Config &amp; Assumptions'!B22)*'⚙ Config &amp; Assumptions'!B24,0)</f>
        <v>7107</v>
      </c>
      <c r="O16" s="117"/>
      <c r="P16" s="91" t="str">
        <f aca="false">IF(O16="","",O16-N16)</f>
        <v/>
      </c>
      <c r="Q16" s="45" t="str">
        <f aca="false">IF(OR(O16="",N16=0),"",(O16-N16)/N16)</f>
        <v/>
      </c>
      <c r="R16" s="91" t="n">
        <f aca="false">ROUND('⚙ Config &amp; Assumptions'!B5*'⚙ Config &amp; Assumptions'!B11*(1-'⚙ Config &amp; Assumptions'!B22)*'⚙ Config &amp; Assumptions'!B24,0)</f>
        <v>8529</v>
      </c>
      <c r="S16" s="117"/>
      <c r="T16" s="91" t="str">
        <f aca="false">IF(S16="","",S16-R16)</f>
        <v/>
      </c>
      <c r="U16" s="45" t="str">
        <f aca="false">IF(OR(S16="",R16=0),"",(S16-R16)/R16)</f>
        <v/>
      </c>
      <c r="V16" s="91" t="n">
        <f aca="false">ROUND('⚙ Config &amp; Assumptions'!B5*'⚙ Config &amp; Assumptions'!B12*(1-'⚙ Config &amp; Assumptions'!B22)*'⚙ Config &amp; Assumptions'!B24,0)</f>
        <v>9002</v>
      </c>
      <c r="W16" s="117"/>
      <c r="X16" s="91" t="str">
        <f aca="false">IF(W16="","",W16-V16)</f>
        <v/>
      </c>
      <c r="Y16" s="45" t="str">
        <f aca="false">IF(OR(W16="",V16=0),"",(W16-V16)/V16)</f>
        <v/>
      </c>
      <c r="Z16" s="91" t="n">
        <f aca="false">ROUND('⚙ Config &amp; Assumptions'!B5*'⚙ Config &amp; Assumptions'!B13*(1-'⚙ Config &amp; Assumptions'!B22)*'⚙ Config &amp; Assumptions'!B24,0)</f>
        <v>9476</v>
      </c>
      <c r="AA16" s="117"/>
      <c r="AB16" s="91" t="str">
        <f aca="false">IF(AA16="","",AA16-Z16)</f>
        <v/>
      </c>
      <c r="AC16" s="45" t="str">
        <f aca="false">IF(OR(AA16="",Z16=0),"",(AA16-Z16)/Z16)</f>
        <v/>
      </c>
      <c r="AD16" s="91" t="n">
        <f aca="false">ROUND('⚙ Config &amp; Assumptions'!B5*'⚙ Config &amp; Assumptions'!B14*(1-'⚙ Config &amp; Assumptions'!B22)*'⚙ Config &amp; Assumptions'!B24,0)</f>
        <v>9002</v>
      </c>
      <c r="AE16" s="117"/>
      <c r="AF16" s="91" t="str">
        <f aca="false">IF(AE16="","",AE16-AD16)</f>
        <v/>
      </c>
      <c r="AG16" s="45" t="str">
        <f aca="false">IF(OR(AE16="",AD16=0),"",(AE16-AD16)/AD16)</f>
        <v/>
      </c>
      <c r="AH16" s="91" t="n">
        <f aca="false">ROUND('⚙ Config &amp; Assumptions'!B5*'⚙ Config &amp; Assumptions'!B15*(1-'⚙ Config &amp; Assumptions'!B22)*'⚙ Config &amp; Assumptions'!B24,0)</f>
        <v>8529</v>
      </c>
      <c r="AI16" s="117"/>
      <c r="AJ16" s="91" t="str">
        <f aca="false">IF(AI16="","",AI16-AH16)</f>
        <v/>
      </c>
      <c r="AK16" s="45" t="str">
        <f aca="false">IF(OR(AI16="",AH16=0),"",(AI16-AH16)/AH16)</f>
        <v/>
      </c>
      <c r="AL16" s="91" t="n">
        <f aca="false">ROUND('⚙ Config &amp; Assumptions'!B5*'⚙ Config &amp; Assumptions'!B16*(1-'⚙ Config &amp; Assumptions'!B22)*'⚙ Config &amp; Assumptions'!B24,0)</f>
        <v>8529</v>
      </c>
      <c r="AM16" s="117"/>
      <c r="AN16" s="91" t="str">
        <f aca="false">IF(AM16="","",AM16-AL16)</f>
        <v/>
      </c>
      <c r="AO16" s="45" t="str">
        <f aca="false">IF(OR(AM16="",AL16=0),"",(AM16-AL16)/AL16)</f>
        <v/>
      </c>
      <c r="AP16" s="91" t="n">
        <f aca="false">ROUND('⚙ Config &amp; Assumptions'!B5*'⚙ Config &amp; Assumptions'!B17*(1-'⚙ Config &amp; Assumptions'!B22)*'⚙ Config &amp; Assumptions'!B24,0)</f>
        <v>8055</v>
      </c>
      <c r="AQ16" s="117"/>
      <c r="AR16" s="91" t="str">
        <f aca="false">IF(AQ16="","",AQ16-AP16)</f>
        <v/>
      </c>
      <c r="AS16" s="45" t="str">
        <f aca="false">IF(OR(AQ16="",AP16=0),"",(AQ16-AP16)/AP16)</f>
        <v/>
      </c>
      <c r="AT16" s="91" t="n">
        <f aca="false">ROUND('⚙ Config &amp; Assumptions'!B5*'⚙ Config &amp; Assumptions'!B18*(1-'⚙ Config &amp; Assumptions'!B22)*'⚙ Config &amp; Assumptions'!B24,0)</f>
        <v>6633</v>
      </c>
      <c r="AU16" s="117"/>
      <c r="AV16" s="91" t="str">
        <f aca="false">IF(AU16="","",AU16-AT16)</f>
        <v/>
      </c>
      <c r="AW16" s="45" t="str">
        <f aca="false">IF(OR(AU16="",AT16=0),"",(AU16-AT16)/AT16)</f>
        <v/>
      </c>
      <c r="AX16" s="118" t="n">
        <f aca="false">CHOOSE('⚙ Config &amp; Assumptions'!B41,B16,F16,J16,N16,R16,V16,Z16,AD16,AH16,AL16,AP16,AT16)</f>
        <v>6633</v>
      </c>
      <c r="AY16" s="118" t="str">
        <f aca="false">IF(CHOOSE('⚙ Config &amp; Assumptions'!B41,C16,G16,K16,O16,S16,W16,AA16,AE16,AI16,AM16,AQ16,AU16)="","",CHOOSE('⚙ Config &amp; Assumptions'!B41,C16,G16,K16,O16,S16,W16,AA16,AE16,AI16,AM16,AQ16,AU16))</f>
        <v/>
      </c>
      <c r="AZ16" s="118" t="str">
        <f aca="false">IF(AY16="","",AY16-AX16)</f>
        <v/>
      </c>
      <c r="BA16" s="106" t="str">
        <f aca="false">IF(OR(AY16="",AX16=0),"",(AY16-AX16)/AX16)</f>
        <v/>
      </c>
      <c r="BB16" s="119" t="n">
        <f aca="false">IF('⚙ Config &amp; Assumptions'!B41&gt;=1,B16,0)+IF('⚙ Config &amp; Assumptions'!B41&gt;=2,F16,0)+IF('⚙ Config &amp; Assumptions'!B41&gt;=3,J16,0)+IF('⚙ Config &amp; Assumptions'!B41&gt;=4,N16,0)+IF('⚙ Config &amp; Assumptions'!B41&gt;=5,R16,0)+IF('⚙ Config &amp; Assumptions'!B41&gt;=6,V16,0)+IF('⚙ Config &amp; Assumptions'!B41&gt;=7,Z16,0)+IF('⚙ Config &amp; Assumptions'!B41&gt;=8,AD16,0)+IF('⚙ Config &amp; Assumptions'!B41&gt;=9,AH16,0)+IF('⚙ Config &amp; Assumptions'!B41&gt;=10,AL16,0)+IF('⚙ Config &amp; Assumptions'!B41&gt;=11,AP16,0)+IF('⚙ Config &amp; Assumptions'!B41&gt;=12,AT16,0)</f>
        <v>6633</v>
      </c>
      <c r="BC16" s="119" t="n">
        <f aca="false">IF(AND('⚙ Config &amp; Assumptions'!B41&gt;=1,C16&lt;&gt;""),C16,0)+IF(AND('⚙ Config &amp; Assumptions'!B41&gt;=2,G16&lt;&gt;""),G16,0)+IF(AND('⚙ Config &amp; Assumptions'!B41&gt;=3,K16&lt;&gt;""),K16,0)+IF(AND('⚙ Config &amp; Assumptions'!B41&gt;=4,O16&lt;&gt;""),O16,0)+IF(AND('⚙ Config &amp; Assumptions'!B41&gt;=5,S16&lt;&gt;""),S16,0)+IF(AND('⚙ Config &amp; Assumptions'!B41&gt;=6,W16&lt;&gt;""),W16,0)+IF(AND('⚙ Config &amp; Assumptions'!B41&gt;=7,AA16&lt;&gt;""),AA16,0)+IF(AND('⚙ Config &amp; Assumptions'!B41&gt;=8,AE16&lt;&gt;""),AE16,0)+IF(AND('⚙ Config &amp; Assumptions'!B41&gt;=9,AI16&lt;&gt;""),AI16,0)+IF(AND('⚙ Config &amp; Assumptions'!B41&gt;=10,AM16&lt;&gt;""),AM16,0)+IF(AND('⚙ Config &amp; Assumptions'!B41&gt;=11,AQ16&lt;&gt;""),AQ16,0)+IF(AND('⚙ Config &amp; Assumptions'!B41&gt;=12,AU16&lt;&gt;""),AU16,0)</f>
        <v>0</v>
      </c>
      <c r="BD16" s="119" t="str">
        <f aca="false">IF(BC16=0,"",BC16-BB16)</f>
        <v/>
      </c>
      <c r="BE16" s="108" t="str">
        <f aca="false">IF(OR(BC16=0,BB16=0),"",(BC16-BB16)/BB16)</f>
        <v/>
      </c>
    </row>
    <row r="17" customFormat="false" ht="15" hidden="false" customHeight="true" outlineLevel="0" collapsed="false">
      <c r="A17" s="7" t="s">
        <v>446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</row>
    <row r="18" customFormat="false" ht="15" hidden="false" customHeight="true" outlineLevel="0" collapsed="false">
      <c r="A18" s="113" t="s">
        <v>447</v>
      </c>
      <c r="B18" s="120" t="n">
        <f aca="false">ROUND('⚙ Config &amp; Assumptions'!B5*'⚙ Config &amp; Assumptions'!B7*(1-'⚙ Config &amp; Assumptions'!B22)*('⚙ Config &amp; Assumptions'!B21-'⚙ Config &amp; Assumptions'!B24),0)</f>
        <v>4631</v>
      </c>
      <c r="C18" s="117"/>
      <c r="D18" s="91" t="str">
        <f aca="false">IF(C18="","",C18-B18)</f>
        <v/>
      </c>
      <c r="E18" s="45" t="str">
        <f aca="false">IF(OR(C18="",B18=0),"",(C18-B18)/B18)</f>
        <v/>
      </c>
      <c r="F18" s="120" t="n">
        <f aca="false">ROUND('⚙ Config &amp; Assumptions'!B5*'⚙ Config &amp; Assumptions'!B8*(1-'⚙ Config &amp; Assumptions'!B22)*('⚙ Config &amp; Assumptions'!B21-'⚙ Config &amp; Assumptions'!B24),0)</f>
        <v>4962</v>
      </c>
      <c r="G18" s="117"/>
      <c r="H18" s="91" t="str">
        <f aca="false">IF(G18="","",G18-F18)</f>
        <v/>
      </c>
      <c r="I18" s="45" t="str">
        <f aca="false">IF(OR(G18="",F18=0),"",(G18-F18)/F18)</f>
        <v/>
      </c>
      <c r="J18" s="120" t="n">
        <f aca="false">ROUND('⚙ Config &amp; Assumptions'!B5*'⚙ Config &amp; Assumptions'!B9*(1-'⚙ Config &amp; Assumptions'!B22)*('⚙ Config &amp; Assumptions'!B21-'⚙ Config &amp; Assumptions'!B24),0)</f>
        <v>4301</v>
      </c>
      <c r="K18" s="117"/>
      <c r="L18" s="91" t="str">
        <f aca="false">IF(K18="","",K18-J18)</f>
        <v/>
      </c>
      <c r="M18" s="45" t="str">
        <f aca="false">IF(OR(K18="",J18=0),"",(K18-J18)/J18)</f>
        <v/>
      </c>
      <c r="N18" s="120" t="n">
        <f aca="false">ROUND('⚙ Config &amp; Assumptions'!B5*'⚙ Config &amp; Assumptions'!B10*(1-'⚙ Config &amp; Assumptions'!B22)*('⚙ Config &amp; Assumptions'!B21-'⚙ Config &amp; Assumptions'!B24),0)</f>
        <v>4962</v>
      </c>
      <c r="O18" s="117"/>
      <c r="P18" s="91" t="str">
        <f aca="false">IF(O18="","",O18-N18)</f>
        <v/>
      </c>
      <c r="Q18" s="45" t="str">
        <f aca="false">IF(OR(O18="",N18=0),"",(O18-N18)/N18)</f>
        <v/>
      </c>
      <c r="R18" s="120" t="n">
        <f aca="false">ROUND('⚙ Config &amp; Assumptions'!B5*'⚙ Config &amp; Assumptions'!B11*(1-'⚙ Config &amp; Assumptions'!B22)*('⚙ Config &amp; Assumptions'!B21-'⚙ Config &amp; Assumptions'!B24),0)</f>
        <v>5955</v>
      </c>
      <c r="S18" s="117"/>
      <c r="T18" s="91" t="str">
        <f aca="false">IF(S18="","",S18-R18)</f>
        <v/>
      </c>
      <c r="U18" s="45" t="str">
        <f aca="false">IF(OR(S18="",R18=0),"",(S18-R18)/R18)</f>
        <v/>
      </c>
      <c r="V18" s="120" t="n">
        <f aca="false">ROUND('⚙ Config &amp; Assumptions'!B5*'⚙ Config &amp; Assumptions'!B12*(1-'⚙ Config &amp; Assumptions'!B22)*('⚙ Config &amp; Assumptions'!B21-'⚙ Config &amp; Assumptions'!B24),0)</f>
        <v>6285</v>
      </c>
      <c r="W18" s="117"/>
      <c r="X18" s="91" t="str">
        <f aca="false">IF(W18="","",W18-V18)</f>
        <v/>
      </c>
      <c r="Y18" s="45" t="str">
        <f aca="false">IF(OR(W18="",V18=0),"",(W18-V18)/V18)</f>
        <v/>
      </c>
      <c r="Z18" s="120" t="n">
        <f aca="false">ROUND('⚙ Config &amp; Assumptions'!B5*'⚙ Config &amp; Assumptions'!B13*(1-'⚙ Config &amp; Assumptions'!B22)*('⚙ Config &amp; Assumptions'!B21-'⚙ Config &amp; Assumptions'!B24),0)</f>
        <v>6616</v>
      </c>
      <c r="AA18" s="117"/>
      <c r="AB18" s="91" t="str">
        <f aca="false">IF(AA18="","",AA18-Z18)</f>
        <v/>
      </c>
      <c r="AC18" s="45" t="str">
        <f aca="false">IF(OR(AA18="",Z18=0),"",(AA18-Z18)/Z18)</f>
        <v/>
      </c>
      <c r="AD18" s="120" t="n">
        <f aca="false">ROUND('⚙ Config &amp; Assumptions'!B5*'⚙ Config &amp; Assumptions'!B14*(1-'⚙ Config &amp; Assumptions'!B22)*('⚙ Config &amp; Assumptions'!B21-'⚙ Config &amp; Assumptions'!B24),0)</f>
        <v>6285</v>
      </c>
      <c r="AE18" s="117"/>
      <c r="AF18" s="91" t="str">
        <f aca="false">IF(AE18="","",AE18-AD18)</f>
        <v/>
      </c>
      <c r="AG18" s="45" t="str">
        <f aca="false">IF(OR(AE18="",AD18=0),"",(AE18-AD18)/AD18)</f>
        <v/>
      </c>
      <c r="AH18" s="120" t="n">
        <f aca="false">ROUND('⚙ Config &amp; Assumptions'!B5*'⚙ Config &amp; Assumptions'!B15*(1-'⚙ Config &amp; Assumptions'!B22)*('⚙ Config &amp; Assumptions'!B21-'⚙ Config &amp; Assumptions'!B24),0)</f>
        <v>5955</v>
      </c>
      <c r="AI18" s="117"/>
      <c r="AJ18" s="91" t="str">
        <f aca="false">IF(AI18="","",AI18-AH18)</f>
        <v/>
      </c>
      <c r="AK18" s="45" t="str">
        <f aca="false">IF(OR(AI18="",AH18=0),"",(AI18-AH18)/AH18)</f>
        <v/>
      </c>
      <c r="AL18" s="120" t="n">
        <f aca="false">ROUND('⚙ Config &amp; Assumptions'!B5*'⚙ Config &amp; Assumptions'!B16*(1-'⚙ Config &amp; Assumptions'!B22)*('⚙ Config &amp; Assumptions'!B21-'⚙ Config &amp; Assumptions'!B24),0)</f>
        <v>5955</v>
      </c>
      <c r="AM18" s="117"/>
      <c r="AN18" s="91" t="str">
        <f aca="false">IF(AM18="","",AM18-AL18)</f>
        <v/>
      </c>
      <c r="AO18" s="45" t="str">
        <f aca="false">IF(OR(AM18="",AL18=0),"",(AM18-AL18)/AL18)</f>
        <v/>
      </c>
      <c r="AP18" s="120" t="n">
        <f aca="false">ROUND('⚙ Config &amp; Assumptions'!B5*'⚙ Config &amp; Assumptions'!B17*(1-'⚙ Config &amp; Assumptions'!B22)*('⚙ Config &amp; Assumptions'!B21-'⚙ Config &amp; Assumptions'!B24),0)</f>
        <v>5624</v>
      </c>
      <c r="AQ18" s="117"/>
      <c r="AR18" s="91" t="str">
        <f aca="false">IF(AQ18="","",AQ18-AP18)</f>
        <v/>
      </c>
      <c r="AS18" s="45" t="str">
        <f aca="false">IF(OR(AQ18="",AP18=0),"",(AQ18-AP18)/AP18)</f>
        <v/>
      </c>
      <c r="AT18" s="120" t="n">
        <f aca="false">ROUND('⚙ Config &amp; Assumptions'!B5*'⚙ Config &amp; Assumptions'!B18*(1-'⚙ Config &amp; Assumptions'!B22)*('⚙ Config &amp; Assumptions'!B21-'⚙ Config &amp; Assumptions'!B24),0)</f>
        <v>4631</v>
      </c>
      <c r="AU18" s="117"/>
      <c r="AV18" s="91" t="str">
        <f aca="false">IF(AU18="","",AU18-AT18)</f>
        <v/>
      </c>
      <c r="AW18" s="45" t="str">
        <f aca="false">IF(OR(AU18="",AT18=0),"",(AU18-AT18)/AT18)</f>
        <v/>
      </c>
      <c r="AX18" s="121" t="n">
        <f aca="false">CHOOSE('⚙ Config &amp; Assumptions'!B41,B18,F18,J18,N18,R18,V18,Z18,AD18,AH18,AL18,AP18,AT18)</f>
        <v>4631</v>
      </c>
      <c r="AY18" s="118" t="str">
        <f aca="false">IF(CHOOSE('⚙ Config &amp; Assumptions'!B41,C18,G18,K18,O18,S18,W18,AA18,AE18,AI18,AM18,AQ18,AU18)="","",CHOOSE('⚙ Config &amp; Assumptions'!B41,C18,G18,K18,O18,S18,W18,AA18,AE18,AI18,AM18,AQ18,AU18))</f>
        <v/>
      </c>
      <c r="AZ18" s="118" t="str">
        <f aca="false">IF(AY18="","",AY18-AX18)</f>
        <v/>
      </c>
      <c r="BA18" s="106" t="str">
        <f aca="false">IF(OR(AY18="",AX18=0),"",(AY18-AX18)/AX18)</f>
        <v/>
      </c>
      <c r="BB18" s="122" t="n">
        <f aca="false">IF('⚙ Config &amp; Assumptions'!B41&gt;=1,B18,0)+IF('⚙ Config &amp; Assumptions'!B41&gt;=2,F18,0)+IF('⚙ Config &amp; Assumptions'!B41&gt;=3,J18,0)+IF('⚙ Config &amp; Assumptions'!B41&gt;=4,N18,0)+IF('⚙ Config &amp; Assumptions'!B41&gt;=5,R18,0)+IF('⚙ Config &amp; Assumptions'!B41&gt;=6,V18,0)+IF('⚙ Config &amp; Assumptions'!B41&gt;=7,Z18,0)+IF('⚙ Config &amp; Assumptions'!B41&gt;=8,AD18,0)+IF('⚙ Config &amp; Assumptions'!B41&gt;=9,AH18,0)+IF('⚙ Config &amp; Assumptions'!B41&gt;=10,AL18,0)+IF('⚙ Config &amp; Assumptions'!B41&gt;=11,AP18,0)+IF('⚙ Config &amp; Assumptions'!B41&gt;=12,AT18,0)</f>
        <v>4631</v>
      </c>
      <c r="BC18" s="119" t="n">
        <f aca="false">IF(AND('⚙ Config &amp; Assumptions'!B41&gt;=1,C18&lt;&gt;""),C18,0)+IF(AND('⚙ Config &amp; Assumptions'!B41&gt;=2,G18&lt;&gt;""),G18,0)+IF(AND('⚙ Config &amp; Assumptions'!B41&gt;=3,K18&lt;&gt;""),K18,0)+IF(AND('⚙ Config &amp; Assumptions'!B41&gt;=4,O18&lt;&gt;""),O18,0)+IF(AND('⚙ Config &amp; Assumptions'!B41&gt;=5,S18&lt;&gt;""),S18,0)+IF(AND('⚙ Config &amp; Assumptions'!B41&gt;=6,W18&lt;&gt;""),W18,0)+IF(AND('⚙ Config &amp; Assumptions'!B41&gt;=7,AA18&lt;&gt;""),AA18,0)+IF(AND('⚙ Config &amp; Assumptions'!B41&gt;=8,AE18&lt;&gt;""),AE18,0)+IF(AND('⚙ Config &amp; Assumptions'!B41&gt;=9,AI18&lt;&gt;""),AI18,0)+IF(AND('⚙ Config &amp; Assumptions'!B41&gt;=10,AM18&lt;&gt;""),AM18,0)+IF(AND('⚙ Config &amp; Assumptions'!B41&gt;=11,AQ18&lt;&gt;""),AQ18,0)+IF(AND('⚙ Config &amp; Assumptions'!B41&gt;=12,AU18&lt;&gt;""),AU18,0)</f>
        <v>0</v>
      </c>
      <c r="BD18" s="119" t="str">
        <f aca="false">IF(BC18=0,"",BC18-BB18)</f>
        <v/>
      </c>
      <c r="BE18" s="108" t="str">
        <f aca="false">IF(OR(BC18=0,BB18=0),"",(BC18-BB18)/BB18)</f>
        <v/>
      </c>
    </row>
    <row r="19" customFormat="false" ht="15" hidden="false" customHeight="true" outlineLevel="0" collapsed="false">
      <c r="A19" s="13" t="s">
        <v>366</v>
      </c>
      <c r="B19" s="45" t="n">
        <f aca="false">IF(B18=0,0,B18/B14)</f>
        <v>0.41109631602308</v>
      </c>
      <c r="C19" s="123"/>
      <c r="D19" s="45" t="str">
        <f aca="false">IF(C19="","",C19-B19)</f>
        <v/>
      </c>
      <c r="E19" s="45" t="str">
        <f aca="false">IF(OR(C19="",B19=0),"",(C19-B19)/B19)</f>
        <v/>
      </c>
      <c r="F19" s="45" t="n">
        <f aca="false">IF(F18=0,0,F18/F14)</f>
        <v>0.411135968182948</v>
      </c>
      <c r="G19" s="123"/>
      <c r="H19" s="45" t="str">
        <f aca="false">IF(G19="","",G19-F19)</f>
        <v/>
      </c>
      <c r="I19" s="45" t="str">
        <f aca="false">IF(OR(G19="",F19=0),"",(G19-F19)/F19)</f>
        <v/>
      </c>
      <c r="J19" s="45" t="n">
        <f aca="false">IF(J18=0,0,J18/J14)</f>
        <v>0.411185468451243</v>
      </c>
      <c r="K19" s="123"/>
      <c r="L19" s="45" t="str">
        <f aca="false">IF(K19="","",K19-J19)</f>
        <v/>
      </c>
      <c r="M19" s="45" t="str">
        <f aca="false">IF(OR(K19="",J19=0),"",(K19-J19)/J19)</f>
        <v/>
      </c>
      <c r="N19" s="45" t="n">
        <f aca="false">IF(N18=0,0,N18/N14)</f>
        <v>0.411135968182948</v>
      </c>
      <c r="O19" s="123"/>
      <c r="P19" s="45" t="str">
        <f aca="false">IF(O19="","",O19-N19)</f>
        <v/>
      </c>
      <c r="Q19" s="45" t="str">
        <f aca="false">IF(OR(O19="",N19=0),"",(O19-N19)/N19)</f>
        <v/>
      </c>
      <c r="R19" s="45" t="n">
        <f aca="false">IF(R18=0,0,R18/R14)</f>
        <v>0.411171718566595</v>
      </c>
      <c r="S19" s="123"/>
      <c r="T19" s="45" t="str">
        <f aca="false">IF(S19="","",S19-R19)</f>
        <v/>
      </c>
      <c r="U19" s="45" t="str">
        <f aca="false">IF(OR(S19="",R19=0),"",(S19-R19)/R19)</f>
        <v/>
      </c>
      <c r="V19" s="45" t="n">
        <f aca="false">IF(V18=0,0,V18/V14)</f>
        <v>0.411106750392465</v>
      </c>
      <c r="W19" s="123"/>
      <c r="X19" s="45" t="str">
        <f aca="false">IF(W19="","",W19-V19)</f>
        <v/>
      </c>
      <c r="Y19" s="45" t="str">
        <f aca="false">IF(OR(W19="",V19=0),"",(W19-V19)/V19)</f>
        <v/>
      </c>
      <c r="Z19" s="45" t="n">
        <f aca="false">IF(Z18=0,0,Z18/Z14)</f>
        <v>0.411135968182948</v>
      </c>
      <c r="AA19" s="123"/>
      <c r="AB19" s="45" t="str">
        <f aca="false">IF(AA19="","",AA19-Z19)</f>
        <v/>
      </c>
      <c r="AC19" s="45" t="str">
        <f aca="false">IF(OR(AA19="",Z19=0),"",(AA19-Z19)/Z19)</f>
        <v/>
      </c>
      <c r="AD19" s="45" t="n">
        <f aca="false">IF(AD18=0,0,AD18/AD14)</f>
        <v>0.411106750392465</v>
      </c>
      <c r="AE19" s="123"/>
      <c r="AF19" s="45" t="str">
        <f aca="false">IF(AE19="","",AE19-AD19)</f>
        <v/>
      </c>
      <c r="AG19" s="45" t="str">
        <f aca="false">IF(OR(AE19="",AD19=0),"",(AE19-AD19)/AD19)</f>
        <v/>
      </c>
      <c r="AH19" s="45" t="n">
        <f aca="false">IF(AH18=0,0,AH18/AH14)</f>
        <v>0.411171718566595</v>
      </c>
      <c r="AI19" s="123"/>
      <c r="AJ19" s="45" t="str">
        <f aca="false">IF(AI19="","",AI19-AH19)</f>
        <v/>
      </c>
      <c r="AK19" s="45" t="str">
        <f aca="false">IF(OR(AI19="",AH19=0),"",(AI19-AH19)/AH19)</f>
        <v/>
      </c>
      <c r="AL19" s="45" t="n">
        <f aca="false">IF(AL18=0,0,AL18/AL14)</f>
        <v>0.411171718566595</v>
      </c>
      <c r="AM19" s="123"/>
      <c r="AN19" s="45" t="str">
        <f aca="false">IF(AM19="","",AM19-AL19)</f>
        <v/>
      </c>
      <c r="AO19" s="45" t="str">
        <f aca="false">IF(OR(AM19="",AL19=0),"",(AM19-AL19)/AL19)</f>
        <v/>
      </c>
      <c r="AP19" s="45" t="n">
        <f aca="false">IF(AP18=0,0,AP18/AP14)</f>
        <v>0.411171223863138</v>
      </c>
      <c r="AQ19" s="123"/>
      <c r="AR19" s="45" t="str">
        <f aca="false">IF(AQ19="","",AQ19-AP19)</f>
        <v/>
      </c>
      <c r="AS19" s="45" t="str">
        <f aca="false">IF(OR(AQ19="",AP19=0),"",(AQ19-AP19)/AP19)</f>
        <v/>
      </c>
      <c r="AT19" s="45" t="n">
        <f aca="false">IF(AT18=0,0,AT18/AT14)</f>
        <v>0.41109631602308</v>
      </c>
      <c r="AU19" s="123"/>
      <c r="AV19" s="45" t="str">
        <f aca="false">IF(AU19="","",AU19-AT19)</f>
        <v/>
      </c>
      <c r="AW19" s="45" t="str">
        <f aca="false">IF(OR(AU19="",AT19=0),"",(AU19-AT19)/AT19)</f>
        <v/>
      </c>
      <c r="AX19" s="106" t="n">
        <f aca="false">CHOOSE('⚙ Config &amp; Assumptions'!B41,B19,F19,J19,N19,R19,V19,Z19,AD19,AH19,AL19,AP19,AT19)</f>
        <v>0.41109631602308</v>
      </c>
      <c r="AY19" s="106" t="str">
        <f aca="false">IF(CHOOSE('⚙ Config &amp; Assumptions'!B41,C19,G19,K19,O19,S19,W19,AA19,AE19,AI19,AM19,AQ19,AU19)="","",CHOOSE('⚙ Config &amp; Assumptions'!B41,C19,G19,K19,O19,S19,W19,AA19,AE19,AI19,AM19,AQ19,AU19))</f>
        <v/>
      </c>
      <c r="AZ19" s="106" t="str">
        <f aca="false">IF(AY19="","",AY19-AX19)</f>
        <v/>
      </c>
      <c r="BA19" s="106" t="str">
        <f aca="false">IF(OR(AY19="",AX19=0),"",(AY19-AX19)/AX19)</f>
        <v/>
      </c>
      <c r="BB19" s="108" t="n">
        <f aca="false">IF('⚙ Config &amp; Assumptions'!B41&gt;=1,B19,0)+IF('⚙ Config &amp; Assumptions'!B41&gt;=2,F19,0)+IF('⚙ Config &amp; Assumptions'!B41&gt;=3,J19,0)+IF('⚙ Config &amp; Assumptions'!B41&gt;=4,N19,0)+IF('⚙ Config &amp; Assumptions'!B41&gt;=5,R19,0)+IF('⚙ Config &amp; Assumptions'!B41&gt;=6,V19,0)+IF('⚙ Config &amp; Assumptions'!B41&gt;=7,Z19,0)+IF('⚙ Config &amp; Assumptions'!B41&gt;=8,AD19,0)+IF('⚙ Config &amp; Assumptions'!B41&gt;=9,AH19,0)+IF('⚙ Config &amp; Assumptions'!B41&gt;=10,AL19,0)+IF('⚙ Config &amp; Assumptions'!B41&gt;=11,AP19,0)+IF('⚙ Config &amp; Assumptions'!B41&gt;=12,AT19,0)</f>
        <v>0.41109631602308</v>
      </c>
      <c r="BC19" s="108" t="n">
        <f aca="false">IF(AND('⚙ Config &amp; Assumptions'!B41&gt;=1,C19&lt;&gt;""),C19,0)+IF(AND('⚙ Config &amp; Assumptions'!B41&gt;=2,G19&lt;&gt;""),G19,0)+IF(AND('⚙ Config &amp; Assumptions'!B41&gt;=3,K19&lt;&gt;""),K19,0)+IF(AND('⚙ Config &amp; Assumptions'!B41&gt;=4,O19&lt;&gt;""),O19,0)+IF(AND('⚙ Config &amp; Assumptions'!B41&gt;=5,S19&lt;&gt;""),S19,0)+IF(AND('⚙ Config &amp; Assumptions'!B41&gt;=6,W19&lt;&gt;""),W19,0)+IF(AND('⚙ Config &amp; Assumptions'!B41&gt;=7,AA19&lt;&gt;""),AA19,0)+IF(AND('⚙ Config &amp; Assumptions'!B41&gt;=8,AE19&lt;&gt;""),AE19,0)+IF(AND('⚙ Config &amp; Assumptions'!B41&gt;=9,AI19&lt;&gt;""),AI19,0)+IF(AND('⚙ Config &amp; Assumptions'!B41&gt;=10,AM19&lt;&gt;""),AM19,0)+IF(AND('⚙ Config &amp; Assumptions'!B41&gt;=11,AQ19&lt;&gt;""),AQ19,0)+IF(AND('⚙ Config &amp; Assumptions'!B41&gt;=12,AU19&lt;&gt;""),AU19,0)</f>
        <v>0</v>
      </c>
      <c r="BD19" s="108" t="str">
        <f aca="false">IF(BC19=0,"",BC19-BB19)</f>
        <v/>
      </c>
      <c r="BE19" s="108" t="str">
        <f aca="false">IF(OR(BC19=0,BB19=0),"",(BC19-BB19)/BB19)</f>
        <v/>
      </c>
    </row>
    <row r="20" customFormat="false" ht="15" hidden="false" customHeight="true" outlineLevel="0" collapsed="false">
      <c r="A20" s="7" t="s">
        <v>448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</row>
    <row r="21" customFormat="false" ht="15" hidden="false" customHeight="true" outlineLevel="0" collapsed="false">
      <c r="A21" s="13" t="s">
        <v>449</v>
      </c>
      <c r="B21" s="91" t="n">
        <f aca="false">ROUND('⚙ Config &amp; Assumptions'!B5*'⚙ Config &amp; Assumptions'!B7*(1-'⚙ Config &amp; Assumptions'!B22)*'⚙ Config &amp; Assumptions'!B25,0)</f>
        <v>656</v>
      </c>
      <c r="C21" s="117"/>
      <c r="D21" s="91" t="str">
        <f aca="false">IF(C21="","",C21-B21)</f>
        <v/>
      </c>
      <c r="E21" s="45" t="str">
        <f aca="false">IF(OR(C21="",B21=0),"",(C21-B21)/B21)</f>
        <v/>
      </c>
      <c r="F21" s="91" t="n">
        <f aca="false">ROUND('⚙ Config &amp; Assumptions'!B5*'⚙ Config &amp; Assumptions'!B8*(1-'⚙ Config &amp; Assumptions'!B22)*'⚙ Config &amp; Assumptions'!B25,0)</f>
        <v>703</v>
      </c>
      <c r="G21" s="117"/>
      <c r="H21" s="91" t="str">
        <f aca="false">IF(G21="","",G21-F21)</f>
        <v/>
      </c>
      <c r="I21" s="45" t="str">
        <f aca="false">IF(OR(G21="",F21=0),"",(G21-F21)/F21)</f>
        <v/>
      </c>
      <c r="J21" s="91" t="n">
        <f aca="false">ROUND('⚙ Config &amp; Assumptions'!B5*'⚙ Config &amp; Assumptions'!B9*(1-'⚙ Config &amp; Assumptions'!B22)*'⚙ Config &amp; Assumptions'!B25,0)</f>
        <v>609</v>
      </c>
      <c r="K21" s="117"/>
      <c r="L21" s="91" t="str">
        <f aca="false">IF(K21="","",K21-J21)</f>
        <v/>
      </c>
      <c r="M21" s="45" t="str">
        <f aca="false">IF(OR(K21="",J21=0),"",(K21-J21)/J21)</f>
        <v/>
      </c>
      <c r="N21" s="91" t="n">
        <f aca="false">ROUND('⚙ Config &amp; Assumptions'!B5*'⚙ Config &amp; Assumptions'!B10*(1-'⚙ Config &amp; Assumptions'!B22)*'⚙ Config &amp; Assumptions'!B25,0)</f>
        <v>703</v>
      </c>
      <c r="O21" s="117"/>
      <c r="P21" s="91" t="str">
        <f aca="false">IF(O21="","",O21-N21)</f>
        <v/>
      </c>
      <c r="Q21" s="45" t="str">
        <f aca="false">IF(OR(O21="",N21=0),"",(O21-N21)/N21)</f>
        <v/>
      </c>
      <c r="R21" s="91" t="n">
        <f aca="false">ROUND('⚙ Config &amp; Assumptions'!B5*'⚙ Config &amp; Assumptions'!B11*(1-'⚙ Config &amp; Assumptions'!B22)*'⚙ Config &amp; Assumptions'!B25,0)</f>
        <v>843</v>
      </c>
      <c r="S21" s="117"/>
      <c r="T21" s="91" t="str">
        <f aca="false">IF(S21="","",S21-R21)</f>
        <v/>
      </c>
      <c r="U21" s="45" t="str">
        <f aca="false">IF(OR(S21="",R21=0),"",(S21-R21)/R21)</f>
        <v/>
      </c>
      <c r="V21" s="91" t="n">
        <f aca="false">ROUND('⚙ Config &amp; Assumptions'!B5*'⚙ Config &amp; Assumptions'!B12*(1-'⚙ Config &amp; Assumptions'!B22)*'⚙ Config &amp; Assumptions'!B25,0)</f>
        <v>890</v>
      </c>
      <c r="W21" s="117"/>
      <c r="X21" s="91" t="str">
        <f aca="false">IF(W21="","",W21-V21)</f>
        <v/>
      </c>
      <c r="Y21" s="45" t="str">
        <f aca="false">IF(OR(W21="",V21=0),"",(W21-V21)/V21)</f>
        <v/>
      </c>
      <c r="Z21" s="91" t="n">
        <f aca="false">ROUND('⚙ Config &amp; Assumptions'!B5*'⚙ Config &amp; Assumptions'!B13*(1-'⚙ Config &amp; Assumptions'!B22)*'⚙ Config &amp; Assumptions'!B25,0)</f>
        <v>937</v>
      </c>
      <c r="AA21" s="117"/>
      <c r="AB21" s="91" t="str">
        <f aca="false">IF(AA21="","",AA21-Z21)</f>
        <v/>
      </c>
      <c r="AC21" s="45" t="str">
        <f aca="false">IF(OR(AA21="",Z21=0),"",(AA21-Z21)/Z21)</f>
        <v/>
      </c>
      <c r="AD21" s="91" t="n">
        <f aca="false">ROUND('⚙ Config &amp; Assumptions'!B5*'⚙ Config &amp; Assumptions'!B14*(1-'⚙ Config &amp; Assumptions'!B22)*'⚙ Config &amp; Assumptions'!B25,0)</f>
        <v>890</v>
      </c>
      <c r="AE21" s="117"/>
      <c r="AF21" s="91" t="str">
        <f aca="false">IF(AE21="","",AE21-AD21)</f>
        <v/>
      </c>
      <c r="AG21" s="45" t="str">
        <f aca="false">IF(OR(AE21="",AD21=0),"",(AE21-AD21)/AD21)</f>
        <v/>
      </c>
      <c r="AH21" s="91" t="n">
        <f aca="false">ROUND('⚙ Config &amp; Assumptions'!B5*'⚙ Config &amp; Assumptions'!B15*(1-'⚙ Config &amp; Assumptions'!B22)*'⚙ Config &amp; Assumptions'!B25,0)</f>
        <v>843</v>
      </c>
      <c r="AI21" s="117"/>
      <c r="AJ21" s="91" t="str">
        <f aca="false">IF(AI21="","",AI21-AH21)</f>
        <v/>
      </c>
      <c r="AK21" s="45" t="str">
        <f aca="false">IF(OR(AI21="",AH21=0),"",(AI21-AH21)/AH21)</f>
        <v/>
      </c>
      <c r="AL21" s="91" t="n">
        <f aca="false">ROUND('⚙ Config &amp; Assumptions'!B5*'⚙ Config &amp; Assumptions'!B16*(1-'⚙ Config &amp; Assumptions'!B22)*'⚙ Config &amp; Assumptions'!B25,0)</f>
        <v>843</v>
      </c>
      <c r="AM21" s="117"/>
      <c r="AN21" s="91" t="str">
        <f aca="false">IF(AM21="","",AM21-AL21)</f>
        <v/>
      </c>
      <c r="AO21" s="45" t="str">
        <f aca="false">IF(OR(AM21="",AL21=0),"",(AM21-AL21)/AL21)</f>
        <v/>
      </c>
      <c r="AP21" s="91" t="n">
        <f aca="false">ROUND('⚙ Config &amp; Assumptions'!B5*'⚙ Config &amp; Assumptions'!B17*(1-'⚙ Config &amp; Assumptions'!B22)*'⚙ Config &amp; Assumptions'!B25,0)</f>
        <v>796</v>
      </c>
      <c r="AQ21" s="117"/>
      <c r="AR21" s="91" t="str">
        <f aca="false">IF(AQ21="","",AQ21-AP21)</f>
        <v/>
      </c>
      <c r="AS21" s="45" t="str">
        <f aca="false">IF(OR(AQ21="",AP21=0),"",(AQ21-AP21)/AP21)</f>
        <v/>
      </c>
      <c r="AT21" s="91" t="n">
        <f aca="false">ROUND('⚙ Config &amp; Assumptions'!B5*'⚙ Config &amp; Assumptions'!B18*(1-'⚙ Config &amp; Assumptions'!B22)*'⚙ Config &amp; Assumptions'!B25,0)</f>
        <v>656</v>
      </c>
      <c r="AU21" s="117"/>
      <c r="AV21" s="91" t="str">
        <f aca="false">IF(AU21="","",AU21-AT21)</f>
        <v/>
      </c>
      <c r="AW21" s="45" t="str">
        <f aca="false">IF(OR(AU21="",AT21=0),"",(AU21-AT21)/AT21)</f>
        <v/>
      </c>
      <c r="AX21" s="118" t="n">
        <f aca="false">CHOOSE('⚙ Config &amp; Assumptions'!B41,B21,F21,J21,N21,R21,V21,Z21,AD21,AH21,AL21,AP21,AT21)</f>
        <v>656</v>
      </c>
      <c r="AY21" s="118" t="str">
        <f aca="false">IF(CHOOSE('⚙ Config &amp; Assumptions'!B41,C21,G21,K21,O21,S21,W21,AA21,AE21,AI21,AM21,AQ21,AU21)="","",CHOOSE('⚙ Config &amp; Assumptions'!B41,C21,G21,K21,O21,S21,W21,AA21,AE21,AI21,AM21,AQ21,AU21))</f>
        <v/>
      </c>
      <c r="AZ21" s="118" t="str">
        <f aca="false">IF(AY21="","",AY21-AX21)</f>
        <v/>
      </c>
      <c r="BA21" s="106" t="str">
        <f aca="false">IF(OR(AY21="",AX21=0),"",(AY21-AX21)/AX21)</f>
        <v/>
      </c>
      <c r="BB21" s="119" t="n">
        <f aca="false">IF('⚙ Config &amp; Assumptions'!B41&gt;=1,B21,0)+IF('⚙ Config &amp; Assumptions'!B41&gt;=2,F21,0)+IF('⚙ Config &amp; Assumptions'!B41&gt;=3,J21,0)+IF('⚙ Config &amp; Assumptions'!B41&gt;=4,N21,0)+IF('⚙ Config &amp; Assumptions'!B41&gt;=5,R21,0)+IF('⚙ Config &amp; Assumptions'!B41&gt;=6,V21,0)+IF('⚙ Config &amp; Assumptions'!B41&gt;=7,Z21,0)+IF('⚙ Config &amp; Assumptions'!B41&gt;=8,AD21,0)+IF('⚙ Config &amp; Assumptions'!B41&gt;=9,AH21,0)+IF('⚙ Config &amp; Assumptions'!B41&gt;=10,AL21,0)+IF('⚙ Config &amp; Assumptions'!B41&gt;=11,AP21,0)+IF('⚙ Config &amp; Assumptions'!B41&gt;=12,AT21,0)</f>
        <v>656</v>
      </c>
      <c r="BC21" s="119" t="n">
        <f aca="false">IF(AND('⚙ Config &amp; Assumptions'!B41&gt;=1,C21&lt;&gt;""),C21,0)+IF(AND('⚙ Config &amp; Assumptions'!B41&gt;=2,G21&lt;&gt;""),G21,0)+IF(AND('⚙ Config &amp; Assumptions'!B41&gt;=3,K21&lt;&gt;""),K21,0)+IF(AND('⚙ Config &amp; Assumptions'!B41&gt;=4,O21&lt;&gt;""),O21,0)+IF(AND('⚙ Config &amp; Assumptions'!B41&gt;=5,S21&lt;&gt;""),S21,0)+IF(AND('⚙ Config &amp; Assumptions'!B41&gt;=6,W21&lt;&gt;""),W21,0)+IF(AND('⚙ Config &amp; Assumptions'!B41&gt;=7,AA21&lt;&gt;""),AA21,0)+IF(AND('⚙ Config &amp; Assumptions'!B41&gt;=8,AE21&lt;&gt;""),AE21,0)+IF(AND('⚙ Config &amp; Assumptions'!B41&gt;=9,AI21&lt;&gt;""),AI21,0)+IF(AND('⚙ Config &amp; Assumptions'!B41&gt;=10,AM21&lt;&gt;""),AM21,0)+IF(AND('⚙ Config &amp; Assumptions'!B41&gt;=11,AQ21&lt;&gt;""),AQ21,0)+IF(AND('⚙ Config &amp; Assumptions'!B41&gt;=12,AU21&lt;&gt;""),AU21,0)</f>
        <v>0</v>
      </c>
      <c r="BD21" s="119" t="str">
        <f aca="false">IF(BC21=0,"",BC21-BB21)</f>
        <v/>
      </c>
      <c r="BE21" s="108" t="str">
        <f aca="false">IF(OR(BC21=0,BB21=0),"",(BC21-BB21)/BB21)</f>
        <v/>
      </c>
    </row>
    <row r="22" customFormat="false" ht="15" hidden="false" customHeight="true" outlineLevel="0" collapsed="false">
      <c r="A22" s="13" t="s">
        <v>450</v>
      </c>
      <c r="B22" s="91" t="n">
        <f aca="false">ROUND('⚙ Config &amp; Assumptions'!B5*'⚙ Config &amp; Assumptions'!B7*(1-'⚙ Config &amp; Assumptions'!B22)*'⚙ Config &amp; Assumptions'!B26,0)</f>
        <v>323</v>
      </c>
      <c r="C22" s="117"/>
      <c r="D22" s="91" t="str">
        <f aca="false">IF(C22="","",C22-B22)</f>
        <v/>
      </c>
      <c r="E22" s="45" t="str">
        <f aca="false">IF(OR(C22="",B22=0),"",(C22-B22)/B22)</f>
        <v/>
      </c>
      <c r="F22" s="91" t="n">
        <f aca="false">ROUND('⚙ Config &amp; Assumptions'!B5*'⚙ Config &amp; Assumptions'!B8*(1-'⚙ Config &amp; Assumptions'!B22)*'⚙ Config &amp; Assumptions'!B26,0)</f>
        <v>346</v>
      </c>
      <c r="G22" s="117"/>
      <c r="H22" s="91" t="str">
        <f aca="false">IF(G22="","",G22-F22)</f>
        <v/>
      </c>
      <c r="I22" s="45" t="str">
        <f aca="false">IF(OR(G22="",F22=0),"",(G22-F22)/F22)</f>
        <v/>
      </c>
      <c r="J22" s="91" t="n">
        <f aca="false">ROUND('⚙ Config &amp; Assumptions'!B5*'⚙ Config &amp; Assumptions'!B9*(1-'⚙ Config &amp; Assumptions'!B22)*'⚙ Config &amp; Assumptions'!B26,0)</f>
        <v>300</v>
      </c>
      <c r="K22" s="117"/>
      <c r="L22" s="91" t="str">
        <f aca="false">IF(K22="","",K22-J22)</f>
        <v/>
      </c>
      <c r="M22" s="45" t="str">
        <f aca="false">IF(OR(K22="",J22=0),"",(K22-J22)/J22)</f>
        <v/>
      </c>
      <c r="N22" s="91" t="n">
        <f aca="false">ROUND('⚙ Config &amp; Assumptions'!B5*'⚙ Config &amp; Assumptions'!B10*(1-'⚙ Config &amp; Assumptions'!B22)*'⚙ Config &amp; Assumptions'!B26,0)</f>
        <v>346</v>
      </c>
      <c r="O22" s="117"/>
      <c r="P22" s="91" t="str">
        <f aca="false">IF(O22="","",O22-N22)</f>
        <v/>
      </c>
      <c r="Q22" s="45" t="str">
        <f aca="false">IF(OR(O22="",N22=0),"",(O22-N22)/N22)</f>
        <v/>
      </c>
      <c r="R22" s="91" t="n">
        <f aca="false">ROUND('⚙ Config &amp; Assumptions'!B5*'⚙ Config &amp; Assumptions'!B11*(1-'⚙ Config &amp; Assumptions'!B22)*'⚙ Config &amp; Assumptions'!B26,0)</f>
        <v>415</v>
      </c>
      <c r="S22" s="117"/>
      <c r="T22" s="91" t="str">
        <f aca="false">IF(S22="","",S22-R22)</f>
        <v/>
      </c>
      <c r="U22" s="45" t="str">
        <f aca="false">IF(OR(S22="",R22=0),"",(S22-R22)/R22)</f>
        <v/>
      </c>
      <c r="V22" s="91" t="n">
        <f aca="false">ROUND('⚙ Config &amp; Assumptions'!B5*'⚙ Config &amp; Assumptions'!B12*(1-'⚙ Config &amp; Assumptions'!B22)*'⚙ Config &amp; Assumptions'!B26,0)</f>
        <v>438</v>
      </c>
      <c r="W22" s="117"/>
      <c r="X22" s="91" t="str">
        <f aca="false">IF(W22="","",W22-V22)</f>
        <v/>
      </c>
      <c r="Y22" s="45" t="str">
        <f aca="false">IF(OR(W22="",V22=0),"",(W22-V22)/V22)</f>
        <v/>
      </c>
      <c r="Z22" s="91" t="n">
        <f aca="false">ROUND('⚙ Config &amp; Assumptions'!B5*'⚙ Config &amp; Assumptions'!B13*(1-'⚙ Config &amp; Assumptions'!B22)*'⚙ Config &amp; Assumptions'!B26,0)</f>
        <v>461</v>
      </c>
      <c r="AA22" s="117"/>
      <c r="AB22" s="91" t="str">
        <f aca="false">IF(AA22="","",AA22-Z22)</f>
        <v/>
      </c>
      <c r="AC22" s="45" t="str">
        <f aca="false">IF(OR(AA22="",Z22=0),"",(AA22-Z22)/Z22)</f>
        <v/>
      </c>
      <c r="AD22" s="91" t="n">
        <f aca="false">ROUND('⚙ Config &amp; Assumptions'!B5*'⚙ Config &amp; Assumptions'!B14*(1-'⚙ Config &amp; Assumptions'!B22)*'⚙ Config &amp; Assumptions'!B26,0)</f>
        <v>438</v>
      </c>
      <c r="AE22" s="117"/>
      <c r="AF22" s="91" t="str">
        <f aca="false">IF(AE22="","",AE22-AD22)</f>
        <v/>
      </c>
      <c r="AG22" s="45" t="str">
        <f aca="false">IF(OR(AE22="",AD22=0),"",(AE22-AD22)/AD22)</f>
        <v/>
      </c>
      <c r="AH22" s="91" t="n">
        <f aca="false">ROUND('⚙ Config &amp; Assumptions'!B5*'⚙ Config &amp; Assumptions'!B15*(1-'⚙ Config &amp; Assumptions'!B22)*'⚙ Config &amp; Assumptions'!B26,0)</f>
        <v>415</v>
      </c>
      <c r="AI22" s="117"/>
      <c r="AJ22" s="91" t="str">
        <f aca="false">IF(AI22="","",AI22-AH22)</f>
        <v/>
      </c>
      <c r="AK22" s="45" t="str">
        <f aca="false">IF(OR(AI22="",AH22=0),"",(AI22-AH22)/AH22)</f>
        <v/>
      </c>
      <c r="AL22" s="91" t="n">
        <f aca="false">ROUND('⚙ Config &amp; Assumptions'!B5*'⚙ Config &amp; Assumptions'!B16*(1-'⚙ Config &amp; Assumptions'!B22)*'⚙ Config &amp; Assumptions'!B26,0)</f>
        <v>415</v>
      </c>
      <c r="AM22" s="117"/>
      <c r="AN22" s="91" t="str">
        <f aca="false">IF(AM22="","",AM22-AL22)</f>
        <v/>
      </c>
      <c r="AO22" s="45" t="str">
        <f aca="false">IF(OR(AM22="",AL22=0),"",(AM22-AL22)/AL22)</f>
        <v/>
      </c>
      <c r="AP22" s="91" t="n">
        <f aca="false">ROUND('⚙ Config &amp; Assumptions'!B5*'⚙ Config &amp; Assumptions'!B17*(1-'⚙ Config &amp; Assumptions'!B22)*'⚙ Config &amp; Assumptions'!B26,0)</f>
        <v>392</v>
      </c>
      <c r="AQ22" s="117"/>
      <c r="AR22" s="91" t="str">
        <f aca="false">IF(AQ22="","",AQ22-AP22)</f>
        <v/>
      </c>
      <c r="AS22" s="45" t="str">
        <f aca="false">IF(OR(AQ22="",AP22=0),"",(AQ22-AP22)/AP22)</f>
        <v/>
      </c>
      <c r="AT22" s="91" t="n">
        <f aca="false">ROUND('⚙ Config &amp; Assumptions'!B5*'⚙ Config &amp; Assumptions'!B18*(1-'⚙ Config &amp; Assumptions'!B22)*'⚙ Config &amp; Assumptions'!B26,0)</f>
        <v>323</v>
      </c>
      <c r="AU22" s="117"/>
      <c r="AV22" s="91" t="str">
        <f aca="false">IF(AU22="","",AU22-AT22)</f>
        <v/>
      </c>
      <c r="AW22" s="45" t="str">
        <f aca="false">IF(OR(AU22="",AT22=0),"",(AU22-AT22)/AT22)</f>
        <v/>
      </c>
      <c r="AX22" s="118" t="n">
        <f aca="false">CHOOSE('⚙ Config &amp; Assumptions'!B41,B22,F22,J22,N22,R22,V22,Z22,AD22,AH22,AL22,AP22,AT22)</f>
        <v>323</v>
      </c>
      <c r="AY22" s="118" t="str">
        <f aca="false">IF(CHOOSE('⚙ Config &amp; Assumptions'!B41,C22,G22,K22,O22,S22,W22,AA22,AE22,AI22,AM22,AQ22,AU22)="","",CHOOSE('⚙ Config &amp; Assumptions'!B41,C22,G22,K22,O22,S22,W22,AA22,AE22,AI22,AM22,AQ22,AU22))</f>
        <v/>
      </c>
      <c r="AZ22" s="118" t="str">
        <f aca="false">IF(AY22="","",AY22-AX22)</f>
        <v/>
      </c>
      <c r="BA22" s="106" t="str">
        <f aca="false">IF(OR(AY22="",AX22=0),"",(AY22-AX22)/AX22)</f>
        <v/>
      </c>
      <c r="BB22" s="119" t="n">
        <f aca="false">IF('⚙ Config &amp; Assumptions'!B41&gt;=1,B22,0)+IF('⚙ Config &amp; Assumptions'!B41&gt;=2,F22,0)+IF('⚙ Config &amp; Assumptions'!B41&gt;=3,J22,0)+IF('⚙ Config &amp; Assumptions'!B41&gt;=4,N22,0)+IF('⚙ Config &amp; Assumptions'!B41&gt;=5,R22,0)+IF('⚙ Config &amp; Assumptions'!B41&gt;=6,V22,0)+IF('⚙ Config &amp; Assumptions'!B41&gt;=7,Z22,0)+IF('⚙ Config &amp; Assumptions'!B41&gt;=8,AD22,0)+IF('⚙ Config &amp; Assumptions'!B41&gt;=9,AH22,0)+IF('⚙ Config &amp; Assumptions'!B41&gt;=10,AL22,0)+IF('⚙ Config &amp; Assumptions'!B41&gt;=11,AP22,0)+IF('⚙ Config &amp; Assumptions'!B41&gt;=12,AT22,0)</f>
        <v>323</v>
      </c>
      <c r="BC22" s="119" t="n">
        <f aca="false">IF(AND('⚙ Config &amp; Assumptions'!B41&gt;=1,C22&lt;&gt;""),C22,0)+IF(AND('⚙ Config &amp; Assumptions'!B41&gt;=2,G22&lt;&gt;""),G22,0)+IF(AND('⚙ Config &amp; Assumptions'!B41&gt;=3,K22&lt;&gt;""),K22,0)+IF(AND('⚙ Config &amp; Assumptions'!B41&gt;=4,O22&lt;&gt;""),O22,0)+IF(AND('⚙ Config &amp; Assumptions'!B41&gt;=5,S22&lt;&gt;""),S22,0)+IF(AND('⚙ Config &amp; Assumptions'!B41&gt;=6,W22&lt;&gt;""),W22,0)+IF(AND('⚙ Config &amp; Assumptions'!B41&gt;=7,AA22&lt;&gt;""),AA22,0)+IF(AND('⚙ Config &amp; Assumptions'!B41&gt;=8,AE22&lt;&gt;""),AE22,0)+IF(AND('⚙ Config &amp; Assumptions'!B41&gt;=9,AI22&lt;&gt;""),AI22,0)+IF(AND('⚙ Config &amp; Assumptions'!B41&gt;=10,AM22&lt;&gt;""),AM22,0)+IF(AND('⚙ Config &amp; Assumptions'!B41&gt;=11,AQ22&lt;&gt;""),AQ22,0)+IF(AND('⚙ Config &amp; Assumptions'!B41&gt;=12,AU22&lt;&gt;""),AU22,0)</f>
        <v>0</v>
      </c>
      <c r="BD22" s="119" t="str">
        <f aca="false">IF(BC22=0,"",BC22-BB22)</f>
        <v/>
      </c>
      <c r="BE22" s="108" t="str">
        <f aca="false">IF(OR(BC22=0,BB22=0),"",(BC22-BB22)/BB22)</f>
        <v/>
      </c>
    </row>
    <row r="23" customFormat="false" ht="15" hidden="false" customHeight="true" outlineLevel="0" collapsed="false">
      <c r="A23" s="13" t="s">
        <v>451</v>
      </c>
      <c r="B23" s="91" t="n">
        <f aca="false">ROUND('⚙ Config &amp; Assumptions'!B28/12,0)</f>
        <v>1475</v>
      </c>
      <c r="C23" s="117"/>
      <c r="D23" s="91" t="str">
        <f aca="false">IF(C23="","",C23-B23)</f>
        <v/>
      </c>
      <c r="E23" s="45" t="str">
        <f aca="false">IF(OR(C23="",B23=0),"",(C23-B23)/B23)</f>
        <v/>
      </c>
      <c r="F23" s="91" t="n">
        <f aca="false">ROUND('⚙ Config &amp; Assumptions'!B28/12,0)</f>
        <v>1475</v>
      </c>
      <c r="G23" s="117"/>
      <c r="H23" s="91" t="str">
        <f aca="false">IF(G23="","",G23-F23)</f>
        <v/>
      </c>
      <c r="I23" s="45" t="str">
        <f aca="false">IF(OR(G23="",F23=0),"",(G23-F23)/F23)</f>
        <v/>
      </c>
      <c r="J23" s="91" t="n">
        <f aca="false">ROUND('⚙ Config &amp; Assumptions'!B28/12,0)</f>
        <v>1475</v>
      </c>
      <c r="K23" s="117"/>
      <c r="L23" s="91" t="str">
        <f aca="false">IF(K23="","",K23-J23)</f>
        <v/>
      </c>
      <c r="M23" s="45" t="str">
        <f aca="false">IF(OR(K23="",J23=0),"",(K23-J23)/J23)</f>
        <v/>
      </c>
      <c r="N23" s="91" t="n">
        <f aca="false">ROUND('⚙ Config &amp; Assumptions'!B28/12,0)</f>
        <v>1475</v>
      </c>
      <c r="O23" s="117"/>
      <c r="P23" s="91" t="str">
        <f aca="false">IF(O23="","",O23-N23)</f>
        <v/>
      </c>
      <c r="Q23" s="45" t="str">
        <f aca="false">IF(OR(O23="",N23=0),"",(O23-N23)/N23)</f>
        <v/>
      </c>
      <c r="R23" s="91" t="n">
        <f aca="false">ROUND('⚙ Config &amp; Assumptions'!B28/12,0)</f>
        <v>1475</v>
      </c>
      <c r="S23" s="117"/>
      <c r="T23" s="91" t="str">
        <f aca="false">IF(S23="","",S23-R23)</f>
        <v/>
      </c>
      <c r="U23" s="45" t="str">
        <f aca="false">IF(OR(S23="",R23=0),"",(S23-R23)/R23)</f>
        <v/>
      </c>
      <c r="V23" s="91" t="n">
        <f aca="false">ROUND('⚙ Config &amp; Assumptions'!B28/12,0)</f>
        <v>1475</v>
      </c>
      <c r="W23" s="117"/>
      <c r="X23" s="91" t="str">
        <f aca="false">IF(W23="","",W23-V23)</f>
        <v/>
      </c>
      <c r="Y23" s="45" t="str">
        <f aca="false">IF(OR(W23="",V23=0),"",(W23-V23)/V23)</f>
        <v/>
      </c>
      <c r="Z23" s="91" t="n">
        <f aca="false">ROUND('⚙ Config &amp; Assumptions'!B28/12,0)</f>
        <v>1475</v>
      </c>
      <c r="AA23" s="117"/>
      <c r="AB23" s="91" t="str">
        <f aca="false">IF(AA23="","",AA23-Z23)</f>
        <v/>
      </c>
      <c r="AC23" s="45" t="str">
        <f aca="false">IF(OR(AA23="",Z23=0),"",(AA23-Z23)/Z23)</f>
        <v/>
      </c>
      <c r="AD23" s="91" t="n">
        <f aca="false">ROUND('⚙ Config &amp; Assumptions'!B28/12,0)</f>
        <v>1475</v>
      </c>
      <c r="AE23" s="117"/>
      <c r="AF23" s="91" t="str">
        <f aca="false">IF(AE23="","",AE23-AD23)</f>
        <v/>
      </c>
      <c r="AG23" s="45" t="str">
        <f aca="false">IF(OR(AE23="",AD23=0),"",(AE23-AD23)/AD23)</f>
        <v/>
      </c>
      <c r="AH23" s="91" t="n">
        <f aca="false">ROUND('⚙ Config &amp; Assumptions'!B28/12,0)</f>
        <v>1475</v>
      </c>
      <c r="AI23" s="117"/>
      <c r="AJ23" s="91" t="str">
        <f aca="false">IF(AI23="","",AI23-AH23)</f>
        <v/>
      </c>
      <c r="AK23" s="45" t="str">
        <f aca="false">IF(OR(AI23="",AH23=0),"",(AI23-AH23)/AH23)</f>
        <v/>
      </c>
      <c r="AL23" s="91" t="n">
        <f aca="false">ROUND('⚙ Config &amp; Assumptions'!B28/12,0)</f>
        <v>1475</v>
      </c>
      <c r="AM23" s="117"/>
      <c r="AN23" s="91" t="str">
        <f aca="false">IF(AM23="","",AM23-AL23)</f>
        <v/>
      </c>
      <c r="AO23" s="45" t="str">
        <f aca="false">IF(OR(AM23="",AL23=0),"",(AM23-AL23)/AL23)</f>
        <v/>
      </c>
      <c r="AP23" s="91" t="n">
        <f aca="false">ROUND('⚙ Config &amp; Assumptions'!B28/12,0)</f>
        <v>1475</v>
      </c>
      <c r="AQ23" s="117"/>
      <c r="AR23" s="91" t="str">
        <f aca="false">IF(AQ23="","",AQ23-AP23)</f>
        <v/>
      </c>
      <c r="AS23" s="45" t="str">
        <f aca="false">IF(OR(AQ23="",AP23=0),"",(AQ23-AP23)/AP23)</f>
        <v/>
      </c>
      <c r="AT23" s="91" t="n">
        <f aca="false">ROUND('⚙ Config &amp; Assumptions'!B28/12,0)</f>
        <v>1475</v>
      </c>
      <c r="AU23" s="117"/>
      <c r="AV23" s="91" t="str">
        <f aca="false">IF(AU23="","",AU23-AT23)</f>
        <v/>
      </c>
      <c r="AW23" s="45" t="str">
        <f aca="false">IF(OR(AU23="",AT23=0),"",(AU23-AT23)/AT23)</f>
        <v/>
      </c>
      <c r="AX23" s="118" t="n">
        <f aca="false">CHOOSE('⚙ Config &amp; Assumptions'!B41,B23,F23,J23,N23,R23,V23,Z23,AD23,AH23,AL23,AP23,AT23)</f>
        <v>1475</v>
      </c>
      <c r="AY23" s="118" t="str">
        <f aca="false">IF(CHOOSE('⚙ Config &amp; Assumptions'!B41,C23,G23,K23,O23,S23,W23,AA23,AE23,AI23,AM23,AQ23,AU23)="","",CHOOSE('⚙ Config &amp; Assumptions'!B41,C23,G23,K23,O23,S23,W23,AA23,AE23,AI23,AM23,AQ23,AU23))</f>
        <v/>
      </c>
      <c r="AZ23" s="118" t="str">
        <f aca="false">IF(AY23="","",AY23-AX23)</f>
        <v/>
      </c>
      <c r="BA23" s="106" t="str">
        <f aca="false">IF(OR(AY23="",AX23=0),"",(AY23-AX23)/AX23)</f>
        <v/>
      </c>
      <c r="BB23" s="119" t="n">
        <f aca="false">IF('⚙ Config &amp; Assumptions'!B41&gt;=1,B23,0)+IF('⚙ Config &amp; Assumptions'!B41&gt;=2,F23,0)+IF('⚙ Config &amp; Assumptions'!B41&gt;=3,J23,0)+IF('⚙ Config &amp; Assumptions'!B41&gt;=4,N23,0)+IF('⚙ Config &amp; Assumptions'!B41&gt;=5,R23,0)+IF('⚙ Config &amp; Assumptions'!B41&gt;=6,V23,0)+IF('⚙ Config &amp; Assumptions'!B41&gt;=7,Z23,0)+IF('⚙ Config &amp; Assumptions'!B41&gt;=8,AD23,0)+IF('⚙ Config &amp; Assumptions'!B41&gt;=9,AH23,0)+IF('⚙ Config &amp; Assumptions'!B41&gt;=10,AL23,0)+IF('⚙ Config &amp; Assumptions'!B41&gt;=11,AP23,0)+IF('⚙ Config &amp; Assumptions'!B41&gt;=12,AT23,0)</f>
        <v>1475</v>
      </c>
      <c r="BC23" s="119" t="n">
        <f aca="false">IF(AND('⚙ Config &amp; Assumptions'!B41&gt;=1,C23&lt;&gt;""),C23,0)+IF(AND('⚙ Config &amp; Assumptions'!B41&gt;=2,G23&lt;&gt;""),G23,0)+IF(AND('⚙ Config &amp; Assumptions'!B41&gt;=3,K23&lt;&gt;""),K23,0)+IF(AND('⚙ Config &amp; Assumptions'!B41&gt;=4,O23&lt;&gt;""),O23,0)+IF(AND('⚙ Config &amp; Assumptions'!B41&gt;=5,S23&lt;&gt;""),S23,0)+IF(AND('⚙ Config &amp; Assumptions'!B41&gt;=6,W23&lt;&gt;""),W23,0)+IF(AND('⚙ Config &amp; Assumptions'!B41&gt;=7,AA23&lt;&gt;""),AA23,0)+IF(AND('⚙ Config &amp; Assumptions'!B41&gt;=8,AE23&lt;&gt;""),AE23,0)+IF(AND('⚙ Config &amp; Assumptions'!B41&gt;=9,AI23&lt;&gt;""),AI23,0)+IF(AND('⚙ Config &amp; Assumptions'!B41&gt;=10,AM23&lt;&gt;""),AM23,0)+IF(AND('⚙ Config &amp; Assumptions'!B41&gt;=11,AQ23&lt;&gt;""),AQ23,0)+IF(AND('⚙ Config &amp; Assumptions'!B41&gt;=12,AU23&lt;&gt;""),AU23,0)</f>
        <v>0</v>
      </c>
      <c r="BD23" s="119" t="str">
        <f aca="false">IF(BC23=0,"",BC23-BB23)</f>
        <v/>
      </c>
      <c r="BE23" s="108" t="str">
        <f aca="false">IF(OR(BC23=0,BB23=0),"",(BC23-BB23)/BB23)</f>
        <v/>
      </c>
    </row>
    <row r="24" customFormat="false" ht="15" hidden="false" customHeight="true" outlineLevel="0" collapsed="false">
      <c r="A24" s="13" t="s">
        <v>452</v>
      </c>
      <c r="B24" s="91" t="n">
        <f aca="false">ROUND('⚙ Config &amp; Assumptions'!B5*'⚙ Config &amp; Assumptions'!B7*(1-'⚙ Config &amp; Assumptions'!B22)*('⚙ Config &amp; Assumptions'!B21*'⚙ Config &amp; Assumptions'!B31+'⚙ Config &amp; Assumptions'!B25*'⚙ Config &amp; Assumptions'!B33),0)</f>
        <v>231</v>
      </c>
      <c r="C24" s="117"/>
      <c r="D24" s="91" t="str">
        <f aca="false">IF(C24="","",C24-B24)</f>
        <v/>
      </c>
      <c r="E24" s="45" t="str">
        <f aca="false">IF(OR(C24="",B24=0),"",(C24-B24)/B24)</f>
        <v/>
      </c>
      <c r="F24" s="91" t="n">
        <f aca="false">ROUND('⚙ Config &amp; Assumptions'!B5*'⚙ Config &amp; Assumptions'!B8*(1-'⚙ Config &amp; Assumptions'!B22)*('⚙ Config &amp; Assumptions'!B21*'⚙ Config &amp; Assumptions'!B31+'⚙ Config &amp; Assumptions'!B25*'⚙ Config &amp; Assumptions'!B33),0)</f>
        <v>247</v>
      </c>
      <c r="G24" s="117"/>
      <c r="H24" s="91" t="str">
        <f aca="false">IF(G24="","",G24-F24)</f>
        <v/>
      </c>
      <c r="I24" s="45" t="str">
        <f aca="false">IF(OR(G24="",F24=0),"",(G24-F24)/F24)</f>
        <v/>
      </c>
      <c r="J24" s="91" t="n">
        <f aca="false">ROUND('⚙ Config &amp; Assumptions'!B5*'⚙ Config &amp; Assumptions'!B9*(1-'⚙ Config &amp; Assumptions'!B22)*('⚙ Config &amp; Assumptions'!B21*'⚙ Config &amp; Assumptions'!B31+'⚙ Config &amp; Assumptions'!B25*'⚙ Config &amp; Assumptions'!B33),0)</f>
        <v>214</v>
      </c>
      <c r="K24" s="117"/>
      <c r="L24" s="91" t="str">
        <f aca="false">IF(K24="","",K24-J24)</f>
        <v/>
      </c>
      <c r="M24" s="45" t="str">
        <f aca="false">IF(OR(K24="",J24=0),"",(K24-J24)/J24)</f>
        <v/>
      </c>
      <c r="N24" s="91" t="n">
        <f aca="false">ROUND('⚙ Config &amp; Assumptions'!B5*'⚙ Config &amp; Assumptions'!B10*(1-'⚙ Config &amp; Assumptions'!B22)*('⚙ Config &amp; Assumptions'!B21*'⚙ Config &amp; Assumptions'!B31+'⚙ Config &amp; Assumptions'!B25*'⚙ Config &amp; Assumptions'!B33),0)</f>
        <v>247</v>
      </c>
      <c r="O24" s="117"/>
      <c r="P24" s="91" t="str">
        <f aca="false">IF(O24="","",O24-N24)</f>
        <v/>
      </c>
      <c r="Q24" s="45" t="str">
        <f aca="false">IF(OR(O24="",N24=0),"",(O24-N24)/N24)</f>
        <v/>
      </c>
      <c r="R24" s="91" t="n">
        <f aca="false">ROUND('⚙ Config &amp; Assumptions'!B5*'⚙ Config &amp; Assumptions'!B11*(1-'⚙ Config &amp; Assumptions'!B22)*('⚙ Config &amp; Assumptions'!B21*'⚙ Config &amp; Assumptions'!B31+'⚙ Config &amp; Assumptions'!B25*'⚙ Config &amp; Assumptions'!B33),0)</f>
        <v>297</v>
      </c>
      <c r="S24" s="117"/>
      <c r="T24" s="91" t="str">
        <f aca="false">IF(S24="","",S24-R24)</f>
        <v/>
      </c>
      <c r="U24" s="45" t="str">
        <f aca="false">IF(OR(S24="",R24=0),"",(S24-R24)/R24)</f>
        <v/>
      </c>
      <c r="V24" s="91" t="n">
        <f aca="false">ROUND('⚙ Config &amp; Assumptions'!B5*'⚙ Config &amp; Assumptions'!B12*(1-'⚙ Config &amp; Assumptions'!B22)*('⚙ Config &amp; Assumptions'!B21*'⚙ Config &amp; Assumptions'!B31+'⚙ Config &amp; Assumptions'!B25*'⚙ Config &amp; Assumptions'!B33),0)</f>
        <v>313</v>
      </c>
      <c r="W24" s="117"/>
      <c r="X24" s="91" t="str">
        <f aca="false">IF(W24="","",W24-V24)</f>
        <v/>
      </c>
      <c r="Y24" s="45" t="str">
        <f aca="false">IF(OR(W24="",V24=0),"",(W24-V24)/V24)</f>
        <v/>
      </c>
      <c r="Z24" s="91" t="n">
        <f aca="false">ROUND('⚙ Config &amp; Assumptions'!B5*'⚙ Config &amp; Assumptions'!B13*(1-'⚙ Config &amp; Assumptions'!B22)*('⚙ Config &amp; Assumptions'!B21*'⚙ Config &amp; Assumptions'!B31+'⚙ Config &amp; Assumptions'!B25*'⚙ Config &amp; Assumptions'!B33),0)</f>
        <v>330</v>
      </c>
      <c r="AA24" s="117"/>
      <c r="AB24" s="91" t="str">
        <f aca="false">IF(AA24="","",AA24-Z24)</f>
        <v/>
      </c>
      <c r="AC24" s="45" t="str">
        <f aca="false">IF(OR(AA24="",Z24=0),"",(AA24-Z24)/Z24)</f>
        <v/>
      </c>
      <c r="AD24" s="91" t="n">
        <f aca="false">ROUND('⚙ Config &amp; Assumptions'!B5*'⚙ Config &amp; Assumptions'!B14*(1-'⚙ Config &amp; Assumptions'!B22)*('⚙ Config &amp; Assumptions'!B21*'⚙ Config &amp; Assumptions'!B31+'⚙ Config &amp; Assumptions'!B25*'⚙ Config &amp; Assumptions'!B33),0)</f>
        <v>313</v>
      </c>
      <c r="AE24" s="117"/>
      <c r="AF24" s="91" t="str">
        <f aca="false">IF(AE24="","",AE24-AD24)</f>
        <v/>
      </c>
      <c r="AG24" s="45" t="str">
        <f aca="false">IF(OR(AE24="",AD24=0),"",(AE24-AD24)/AD24)</f>
        <v/>
      </c>
      <c r="AH24" s="91" t="n">
        <f aca="false">ROUND('⚙ Config &amp; Assumptions'!B5*'⚙ Config &amp; Assumptions'!B15*(1-'⚙ Config &amp; Assumptions'!B22)*('⚙ Config &amp; Assumptions'!B21*'⚙ Config &amp; Assumptions'!B31+'⚙ Config &amp; Assumptions'!B25*'⚙ Config &amp; Assumptions'!B33),0)</f>
        <v>297</v>
      </c>
      <c r="AI24" s="117"/>
      <c r="AJ24" s="91" t="str">
        <f aca="false">IF(AI24="","",AI24-AH24)</f>
        <v/>
      </c>
      <c r="AK24" s="45" t="str">
        <f aca="false">IF(OR(AI24="",AH24=0),"",(AI24-AH24)/AH24)</f>
        <v/>
      </c>
      <c r="AL24" s="91" t="n">
        <f aca="false">ROUND('⚙ Config &amp; Assumptions'!B5*'⚙ Config &amp; Assumptions'!B16*(1-'⚙ Config &amp; Assumptions'!B22)*('⚙ Config &amp; Assumptions'!B21*'⚙ Config &amp; Assumptions'!B31+'⚙ Config &amp; Assumptions'!B25*'⚙ Config &amp; Assumptions'!B33),0)</f>
        <v>297</v>
      </c>
      <c r="AM24" s="117"/>
      <c r="AN24" s="91" t="str">
        <f aca="false">IF(AM24="","",AM24-AL24)</f>
        <v/>
      </c>
      <c r="AO24" s="45" t="str">
        <f aca="false">IF(OR(AM24="",AL24=0),"",(AM24-AL24)/AL24)</f>
        <v/>
      </c>
      <c r="AP24" s="91" t="n">
        <f aca="false">ROUND('⚙ Config &amp; Assumptions'!B5*'⚙ Config &amp; Assumptions'!B17*(1-'⚙ Config &amp; Assumptions'!B22)*('⚙ Config &amp; Assumptions'!B21*'⚙ Config &amp; Assumptions'!B31+'⚙ Config &amp; Assumptions'!B25*'⚙ Config &amp; Assumptions'!B33),0)</f>
        <v>280</v>
      </c>
      <c r="AQ24" s="117"/>
      <c r="AR24" s="91" t="str">
        <f aca="false">IF(AQ24="","",AQ24-AP24)</f>
        <v/>
      </c>
      <c r="AS24" s="45" t="str">
        <f aca="false">IF(OR(AQ24="",AP24=0),"",(AQ24-AP24)/AP24)</f>
        <v/>
      </c>
      <c r="AT24" s="91" t="n">
        <f aca="false">ROUND('⚙ Config &amp; Assumptions'!B5*'⚙ Config &amp; Assumptions'!B18*(1-'⚙ Config &amp; Assumptions'!B22)*('⚙ Config &amp; Assumptions'!B21*'⚙ Config &amp; Assumptions'!B31+'⚙ Config &amp; Assumptions'!B25*'⚙ Config &amp; Assumptions'!B33),0)</f>
        <v>231</v>
      </c>
      <c r="AU24" s="117"/>
      <c r="AV24" s="91" t="str">
        <f aca="false">IF(AU24="","",AU24-AT24)</f>
        <v/>
      </c>
      <c r="AW24" s="45" t="str">
        <f aca="false">IF(OR(AU24="",AT24=0),"",(AU24-AT24)/AT24)</f>
        <v/>
      </c>
      <c r="AX24" s="118" t="n">
        <f aca="false">CHOOSE('⚙ Config &amp; Assumptions'!B41,B24,F24,J24,N24,R24,V24,Z24,AD24,AH24,AL24,AP24,AT24)</f>
        <v>231</v>
      </c>
      <c r="AY24" s="118" t="str">
        <f aca="false">IF(CHOOSE('⚙ Config &amp; Assumptions'!B41,C24,G24,K24,O24,S24,W24,AA24,AE24,AI24,AM24,AQ24,AU24)="","",CHOOSE('⚙ Config &amp; Assumptions'!B41,C24,G24,K24,O24,S24,W24,AA24,AE24,AI24,AM24,AQ24,AU24))</f>
        <v/>
      </c>
      <c r="AZ24" s="118" t="str">
        <f aca="false">IF(AY24="","",AY24-AX24)</f>
        <v/>
      </c>
      <c r="BA24" s="106" t="str">
        <f aca="false">IF(OR(AY24="",AX24=0),"",(AY24-AX24)/AX24)</f>
        <v/>
      </c>
      <c r="BB24" s="119" t="n">
        <f aca="false">IF('⚙ Config &amp; Assumptions'!B41&gt;=1,B24,0)+IF('⚙ Config &amp; Assumptions'!B41&gt;=2,F24,0)+IF('⚙ Config &amp; Assumptions'!B41&gt;=3,J24,0)+IF('⚙ Config &amp; Assumptions'!B41&gt;=4,N24,0)+IF('⚙ Config &amp; Assumptions'!B41&gt;=5,R24,0)+IF('⚙ Config &amp; Assumptions'!B41&gt;=6,V24,0)+IF('⚙ Config &amp; Assumptions'!B41&gt;=7,Z24,0)+IF('⚙ Config &amp; Assumptions'!B41&gt;=8,AD24,0)+IF('⚙ Config &amp; Assumptions'!B41&gt;=9,AH24,0)+IF('⚙ Config &amp; Assumptions'!B41&gt;=10,AL24,0)+IF('⚙ Config &amp; Assumptions'!B41&gt;=11,AP24,0)+IF('⚙ Config &amp; Assumptions'!B41&gt;=12,AT24,0)</f>
        <v>231</v>
      </c>
      <c r="BC24" s="119" t="n">
        <f aca="false">IF(AND('⚙ Config &amp; Assumptions'!B41&gt;=1,C24&lt;&gt;""),C24,0)+IF(AND('⚙ Config &amp; Assumptions'!B41&gt;=2,G24&lt;&gt;""),G24,0)+IF(AND('⚙ Config &amp; Assumptions'!B41&gt;=3,K24&lt;&gt;""),K24,0)+IF(AND('⚙ Config &amp; Assumptions'!B41&gt;=4,O24&lt;&gt;""),O24,0)+IF(AND('⚙ Config &amp; Assumptions'!B41&gt;=5,S24&lt;&gt;""),S24,0)+IF(AND('⚙ Config &amp; Assumptions'!B41&gt;=6,W24&lt;&gt;""),W24,0)+IF(AND('⚙ Config &amp; Assumptions'!B41&gt;=7,AA24&lt;&gt;""),AA24,0)+IF(AND('⚙ Config &amp; Assumptions'!B41&gt;=8,AE24&lt;&gt;""),AE24,0)+IF(AND('⚙ Config &amp; Assumptions'!B41&gt;=9,AI24&lt;&gt;""),AI24,0)+IF(AND('⚙ Config &amp; Assumptions'!B41&gt;=10,AM24&lt;&gt;""),AM24,0)+IF(AND('⚙ Config &amp; Assumptions'!B41&gt;=11,AQ24&lt;&gt;""),AQ24,0)+IF(AND('⚙ Config &amp; Assumptions'!B41&gt;=12,AU24&lt;&gt;""),AU24,0)</f>
        <v>0</v>
      </c>
      <c r="BD24" s="119" t="str">
        <f aca="false">IF(BC24=0,"",BC24-BB24)</f>
        <v/>
      </c>
      <c r="BE24" s="108" t="str">
        <f aca="false">IF(OR(BC24=0,BB24=0),"",(BC24-BB24)/BB24)</f>
        <v/>
      </c>
    </row>
    <row r="25" customFormat="false" ht="15" hidden="false" customHeight="true" outlineLevel="0" collapsed="false">
      <c r="A25" s="113" t="s">
        <v>453</v>
      </c>
      <c r="B25" s="120" t="n">
        <f aca="false">B21+B22+B23+B24</f>
        <v>2685</v>
      </c>
      <c r="C25" s="117"/>
      <c r="D25" s="91" t="str">
        <f aca="false">IF(C25="","",C25-B25)</f>
        <v/>
      </c>
      <c r="E25" s="45" t="str">
        <f aca="false">IF(OR(C25="",B25=0),"",(C25-B25)/B25)</f>
        <v/>
      </c>
      <c r="F25" s="120" t="n">
        <f aca="false">F21+F22+F23+F24</f>
        <v>2771</v>
      </c>
      <c r="G25" s="117"/>
      <c r="H25" s="91" t="str">
        <f aca="false">IF(G25="","",G25-F25)</f>
        <v/>
      </c>
      <c r="I25" s="45" t="str">
        <f aca="false">IF(OR(G25="",F25=0),"",(G25-F25)/F25)</f>
        <v/>
      </c>
      <c r="J25" s="120" t="n">
        <f aca="false">J21+J22+J23+J24</f>
        <v>2598</v>
      </c>
      <c r="K25" s="117"/>
      <c r="L25" s="91" t="str">
        <f aca="false">IF(K25="","",K25-J25)</f>
        <v/>
      </c>
      <c r="M25" s="45" t="str">
        <f aca="false">IF(OR(K25="",J25=0),"",(K25-J25)/J25)</f>
        <v/>
      </c>
      <c r="N25" s="120" t="n">
        <f aca="false">N21+N22+N23+N24</f>
        <v>2771</v>
      </c>
      <c r="O25" s="117"/>
      <c r="P25" s="91" t="str">
        <f aca="false">IF(O25="","",O25-N25)</f>
        <v/>
      </c>
      <c r="Q25" s="45" t="str">
        <f aca="false">IF(OR(O25="",N25=0),"",(O25-N25)/N25)</f>
        <v/>
      </c>
      <c r="R25" s="120" t="n">
        <f aca="false">R21+R22+R23+R24</f>
        <v>3030</v>
      </c>
      <c r="S25" s="117"/>
      <c r="T25" s="91" t="str">
        <f aca="false">IF(S25="","",S25-R25)</f>
        <v/>
      </c>
      <c r="U25" s="45" t="str">
        <f aca="false">IF(OR(S25="",R25=0),"",(S25-R25)/R25)</f>
        <v/>
      </c>
      <c r="V25" s="120" t="n">
        <f aca="false">V21+V22+V23+V24</f>
        <v>3116</v>
      </c>
      <c r="W25" s="117"/>
      <c r="X25" s="91" t="str">
        <f aca="false">IF(W25="","",W25-V25)</f>
        <v/>
      </c>
      <c r="Y25" s="45" t="str">
        <f aca="false">IF(OR(W25="",V25=0),"",(W25-V25)/V25)</f>
        <v/>
      </c>
      <c r="Z25" s="120" t="n">
        <f aca="false">Z21+Z22+Z23+Z24</f>
        <v>3203</v>
      </c>
      <c r="AA25" s="117"/>
      <c r="AB25" s="91" t="str">
        <f aca="false">IF(AA25="","",AA25-Z25)</f>
        <v/>
      </c>
      <c r="AC25" s="45" t="str">
        <f aca="false">IF(OR(AA25="",Z25=0),"",(AA25-Z25)/Z25)</f>
        <v/>
      </c>
      <c r="AD25" s="120" t="n">
        <f aca="false">AD21+AD22+AD23+AD24</f>
        <v>3116</v>
      </c>
      <c r="AE25" s="117"/>
      <c r="AF25" s="91" t="str">
        <f aca="false">IF(AE25="","",AE25-AD25)</f>
        <v/>
      </c>
      <c r="AG25" s="45" t="str">
        <f aca="false">IF(OR(AE25="",AD25=0),"",(AE25-AD25)/AD25)</f>
        <v/>
      </c>
      <c r="AH25" s="120" t="n">
        <f aca="false">AH21+AH22+AH23+AH24</f>
        <v>3030</v>
      </c>
      <c r="AI25" s="117"/>
      <c r="AJ25" s="91" t="str">
        <f aca="false">IF(AI25="","",AI25-AH25)</f>
        <v/>
      </c>
      <c r="AK25" s="45" t="str">
        <f aca="false">IF(OR(AI25="",AH25=0),"",(AI25-AH25)/AH25)</f>
        <v/>
      </c>
      <c r="AL25" s="120" t="n">
        <f aca="false">AL21+AL22+AL23+AL24</f>
        <v>3030</v>
      </c>
      <c r="AM25" s="117"/>
      <c r="AN25" s="91" t="str">
        <f aca="false">IF(AM25="","",AM25-AL25)</f>
        <v/>
      </c>
      <c r="AO25" s="45" t="str">
        <f aca="false">IF(OR(AM25="",AL25=0),"",(AM25-AL25)/AL25)</f>
        <v/>
      </c>
      <c r="AP25" s="120" t="n">
        <f aca="false">AP21+AP22+AP23+AP24</f>
        <v>2943</v>
      </c>
      <c r="AQ25" s="117"/>
      <c r="AR25" s="91" t="str">
        <f aca="false">IF(AQ25="","",AQ25-AP25)</f>
        <v/>
      </c>
      <c r="AS25" s="45" t="str">
        <f aca="false">IF(OR(AQ25="",AP25=0),"",(AQ25-AP25)/AP25)</f>
        <v/>
      </c>
      <c r="AT25" s="120" t="n">
        <f aca="false">AT21+AT22+AT23+AT24</f>
        <v>2685</v>
      </c>
      <c r="AU25" s="117"/>
      <c r="AV25" s="91" t="str">
        <f aca="false">IF(AU25="","",AU25-AT25)</f>
        <v/>
      </c>
      <c r="AW25" s="45" t="str">
        <f aca="false">IF(OR(AU25="",AT25=0),"",(AU25-AT25)/AT25)</f>
        <v/>
      </c>
      <c r="AX25" s="121" t="n">
        <f aca="false">CHOOSE('⚙ Config &amp; Assumptions'!B41,B25,F25,J25,N25,R25,V25,Z25,AD25,AH25,AL25,AP25,AT25)</f>
        <v>2685</v>
      </c>
      <c r="AY25" s="118" t="str">
        <f aca="false">IF(CHOOSE('⚙ Config &amp; Assumptions'!B41,C25,G25,K25,O25,S25,W25,AA25,AE25,AI25,AM25,AQ25,AU25)="","",CHOOSE('⚙ Config &amp; Assumptions'!B41,C25,G25,K25,O25,S25,W25,AA25,AE25,AI25,AM25,AQ25,AU25))</f>
        <v/>
      </c>
      <c r="AZ25" s="118" t="str">
        <f aca="false">IF(AY25="","",AY25-AX25)</f>
        <v/>
      </c>
      <c r="BA25" s="106" t="str">
        <f aca="false">IF(OR(AY25="",AX25=0),"",(AY25-AX25)/AX25)</f>
        <v/>
      </c>
      <c r="BB25" s="122" t="n">
        <f aca="false">IF('⚙ Config &amp; Assumptions'!B41&gt;=1,B25,0)+IF('⚙ Config &amp; Assumptions'!B41&gt;=2,F25,0)+IF('⚙ Config &amp; Assumptions'!B41&gt;=3,J25,0)+IF('⚙ Config &amp; Assumptions'!B41&gt;=4,N25,0)+IF('⚙ Config &amp; Assumptions'!B41&gt;=5,R25,0)+IF('⚙ Config &amp; Assumptions'!B41&gt;=6,V25,0)+IF('⚙ Config &amp; Assumptions'!B41&gt;=7,Z25,0)+IF('⚙ Config &amp; Assumptions'!B41&gt;=8,AD25,0)+IF('⚙ Config &amp; Assumptions'!B41&gt;=9,AH25,0)+IF('⚙ Config &amp; Assumptions'!B41&gt;=10,AL25,0)+IF('⚙ Config &amp; Assumptions'!B41&gt;=11,AP25,0)+IF('⚙ Config &amp; Assumptions'!B41&gt;=12,AT25,0)</f>
        <v>2685</v>
      </c>
      <c r="BC25" s="119" t="n">
        <f aca="false">IF(AND('⚙ Config &amp; Assumptions'!B41&gt;=1,C25&lt;&gt;""),C25,0)+IF(AND('⚙ Config &amp; Assumptions'!B41&gt;=2,G25&lt;&gt;""),G25,0)+IF(AND('⚙ Config &amp; Assumptions'!B41&gt;=3,K25&lt;&gt;""),K25,0)+IF(AND('⚙ Config &amp; Assumptions'!B41&gt;=4,O25&lt;&gt;""),O25,0)+IF(AND('⚙ Config &amp; Assumptions'!B41&gt;=5,S25&lt;&gt;""),S25,0)+IF(AND('⚙ Config &amp; Assumptions'!B41&gt;=6,W25&lt;&gt;""),W25,0)+IF(AND('⚙ Config &amp; Assumptions'!B41&gt;=7,AA25&lt;&gt;""),AA25,0)+IF(AND('⚙ Config &amp; Assumptions'!B41&gt;=8,AE25&lt;&gt;""),AE25,0)+IF(AND('⚙ Config &amp; Assumptions'!B41&gt;=9,AI25&lt;&gt;""),AI25,0)+IF(AND('⚙ Config &amp; Assumptions'!B41&gt;=10,AM25&lt;&gt;""),AM25,0)+IF(AND('⚙ Config &amp; Assumptions'!B41&gt;=11,AQ25&lt;&gt;""),AQ25,0)+IF(AND('⚙ Config &amp; Assumptions'!B41&gt;=12,AU25&lt;&gt;""),AU25,0)</f>
        <v>0</v>
      </c>
      <c r="BD25" s="119" t="str">
        <f aca="false">IF(BC25=0,"",BC25-BB25)</f>
        <v/>
      </c>
      <c r="BE25" s="108" t="str">
        <f aca="false">IF(OR(BC25=0,BB25=0),"",(BC25-BB25)/BB25)</f>
        <v/>
      </c>
    </row>
    <row r="26" customFormat="false" ht="15" hidden="false" customHeight="true" outlineLevel="0" collapsed="false">
      <c r="A26" s="7" t="s">
        <v>454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</row>
    <row r="27" customFormat="false" ht="15" hidden="false" customHeight="true" outlineLevel="0" collapsed="false">
      <c r="A27" s="113" t="s">
        <v>455</v>
      </c>
      <c r="B27" s="120" t="n">
        <f aca="false">B18-B25</f>
        <v>1946</v>
      </c>
      <c r="C27" s="117"/>
      <c r="D27" s="91" t="str">
        <f aca="false">IF(C27="","",C27-B27)</f>
        <v/>
      </c>
      <c r="E27" s="45" t="str">
        <f aca="false">IF(OR(C27="",B27=0),"",(C27-B27)/B27)</f>
        <v/>
      </c>
      <c r="F27" s="120" t="n">
        <f aca="false">F18-F25</f>
        <v>2191</v>
      </c>
      <c r="G27" s="117"/>
      <c r="H27" s="91" t="str">
        <f aca="false">IF(G27="","",G27-F27)</f>
        <v/>
      </c>
      <c r="I27" s="45" t="str">
        <f aca="false">IF(OR(G27="",F27=0),"",(G27-F27)/F27)</f>
        <v/>
      </c>
      <c r="J27" s="120" t="n">
        <f aca="false">J18-J25</f>
        <v>1703</v>
      </c>
      <c r="K27" s="117"/>
      <c r="L27" s="91" t="str">
        <f aca="false">IF(K27="","",K27-J27)</f>
        <v/>
      </c>
      <c r="M27" s="45" t="str">
        <f aca="false">IF(OR(K27="",J27=0),"",(K27-J27)/J27)</f>
        <v/>
      </c>
      <c r="N27" s="120" t="n">
        <f aca="false">N18-N25</f>
        <v>2191</v>
      </c>
      <c r="O27" s="117"/>
      <c r="P27" s="91" t="str">
        <f aca="false">IF(O27="","",O27-N27)</f>
        <v/>
      </c>
      <c r="Q27" s="45" t="str">
        <f aca="false">IF(OR(O27="",N27=0),"",(O27-N27)/N27)</f>
        <v/>
      </c>
      <c r="R27" s="120" t="n">
        <f aca="false">R18-R25</f>
        <v>2925</v>
      </c>
      <c r="S27" s="117"/>
      <c r="T27" s="91" t="str">
        <f aca="false">IF(S27="","",S27-R27)</f>
        <v/>
      </c>
      <c r="U27" s="45" t="str">
        <f aca="false">IF(OR(S27="",R27=0),"",(S27-R27)/R27)</f>
        <v/>
      </c>
      <c r="V27" s="120" t="n">
        <f aca="false">V18-V25</f>
        <v>3169</v>
      </c>
      <c r="W27" s="117"/>
      <c r="X27" s="91" t="str">
        <f aca="false">IF(W27="","",W27-V27)</f>
        <v/>
      </c>
      <c r="Y27" s="45" t="str">
        <f aca="false">IF(OR(W27="",V27=0),"",(W27-V27)/V27)</f>
        <v/>
      </c>
      <c r="Z27" s="120" t="n">
        <f aca="false">Z18-Z25</f>
        <v>3413</v>
      </c>
      <c r="AA27" s="117"/>
      <c r="AB27" s="91" t="str">
        <f aca="false">IF(AA27="","",AA27-Z27)</f>
        <v/>
      </c>
      <c r="AC27" s="45" t="str">
        <f aca="false">IF(OR(AA27="",Z27=0),"",(AA27-Z27)/Z27)</f>
        <v/>
      </c>
      <c r="AD27" s="120" t="n">
        <f aca="false">AD18-AD25</f>
        <v>3169</v>
      </c>
      <c r="AE27" s="117"/>
      <c r="AF27" s="91" t="str">
        <f aca="false">IF(AE27="","",AE27-AD27)</f>
        <v/>
      </c>
      <c r="AG27" s="45" t="str">
        <f aca="false">IF(OR(AE27="",AD27=0),"",(AE27-AD27)/AD27)</f>
        <v/>
      </c>
      <c r="AH27" s="120" t="n">
        <f aca="false">AH18-AH25</f>
        <v>2925</v>
      </c>
      <c r="AI27" s="117"/>
      <c r="AJ27" s="91" t="str">
        <f aca="false">IF(AI27="","",AI27-AH27)</f>
        <v/>
      </c>
      <c r="AK27" s="45" t="str">
        <f aca="false">IF(OR(AI27="",AH27=0),"",(AI27-AH27)/AH27)</f>
        <v/>
      </c>
      <c r="AL27" s="120" t="n">
        <f aca="false">AL18-AL25</f>
        <v>2925</v>
      </c>
      <c r="AM27" s="117"/>
      <c r="AN27" s="91" t="str">
        <f aca="false">IF(AM27="","",AM27-AL27)</f>
        <v/>
      </c>
      <c r="AO27" s="45" t="str">
        <f aca="false">IF(OR(AM27="",AL27=0),"",(AM27-AL27)/AL27)</f>
        <v/>
      </c>
      <c r="AP27" s="120" t="n">
        <f aca="false">AP18-AP25</f>
        <v>2681</v>
      </c>
      <c r="AQ27" s="117"/>
      <c r="AR27" s="91" t="str">
        <f aca="false">IF(AQ27="","",AQ27-AP27)</f>
        <v/>
      </c>
      <c r="AS27" s="45" t="str">
        <f aca="false">IF(OR(AQ27="",AP27=0),"",(AQ27-AP27)/AP27)</f>
        <v/>
      </c>
      <c r="AT27" s="120" t="n">
        <f aca="false">AT18-AT25</f>
        <v>1946</v>
      </c>
      <c r="AU27" s="117"/>
      <c r="AV27" s="91" t="str">
        <f aca="false">IF(AU27="","",AU27-AT27)</f>
        <v/>
      </c>
      <c r="AW27" s="45" t="str">
        <f aca="false">IF(OR(AU27="",AT27=0),"",(AU27-AT27)/AT27)</f>
        <v/>
      </c>
      <c r="AX27" s="121" t="n">
        <f aca="false">CHOOSE('⚙ Config &amp; Assumptions'!B41,B27,F27,J27,N27,R27,V27,Z27,AD27,AH27,AL27,AP27,AT27)</f>
        <v>1946</v>
      </c>
      <c r="AY27" s="118" t="str">
        <f aca="false">IF(CHOOSE('⚙ Config &amp; Assumptions'!B41,C27,G27,K27,O27,S27,W27,AA27,AE27,AI27,AM27,AQ27,AU27)="","",CHOOSE('⚙ Config &amp; Assumptions'!B41,C27,G27,K27,O27,S27,W27,AA27,AE27,AI27,AM27,AQ27,AU27))</f>
        <v/>
      </c>
      <c r="AZ27" s="118" t="str">
        <f aca="false">IF(AY27="","",AY27-AX27)</f>
        <v/>
      </c>
      <c r="BA27" s="106" t="str">
        <f aca="false">IF(OR(AY27="",AX27=0),"",(AY27-AX27)/AX27)</f>
        <v/>
      </c>
      <c r="BB27" s="122" t="n">
        <f aca="false">IF('⚙ Config &amp; Assumptions'!B41&gt;=1,B27,0)+IF('⚙ Config &amp; Assumptions'!B41&gt;=2,F27,0)+IF('⚙ Config &amp; Assumptions'!B41&gt;=3,J27,0)+IF('⚙ Config &amp; Assumptions'!B41&gt;=4,N27,0)+IF('⚙ Config &amp; Assumptions'!B41&gt;=5,R27,0)+IF('⚙ Config &amp; Assumptions'!B41&gt;=6,V27,0)+IF('⚙ Config &amp; Assumptions'!B41&gt;=7,Z27,0)+IF('⚙ Config &amp; Assumptions'!B41&gt;=8,AD27,0)+IF('⚙ Config &amp; Assumptions'!B41&gt;=9,AH27,0)+IF('⚙ Config &amp; Assumptions'!B41&gt;=10,AL27,0)+IF('⚙ Config &amp; Assumptions'!B41&gt;=11,AP27,0)+IF('⚙ Config &amp; Assumptions'!B41&gt;=12,AT27,0)</f>
        <v>1946</v>
      </c>
      <c r="BC27" s="119" t="n">
        <f aca="false">IF(AND('⚙ Config &amp; Assumptions'!B41&gt;=1,C27&lt;&gt;""),C27,0)+IF(AND('⚙ Config &amp; Assumptions'!B41&gt;=2,G27&lt;&gt;""),G27,0)+IF(AND('⚙ Config &amp; Assumptions'!B41&gt;=3,K27&lt;&gt;""),K27,0)+IF(AND('⚙ Config &amp; Assumptions'!B41&gt;=4,O27&lt;&gt;""),O27,0)+IF(AND('⚙ Config &amp; Assumptions'!B41&gt;=5,S27&lt;&gt;""),S27,0)+IF(AND('⚙ Config &amp; Assumptions'!B41&gt;=6,W27&lt;&gt;""),W27,0)+IF(AND('⚙ Config &amp; Assumptions'!B41&gt;=7,AA27&lt;&gt;""),AA27,0)+IF(AND('⚙ Config &amp; Assumptions'!B41&gt;=8,AE27&lt;&gt;""),AE27,0)+IF(AND('⚙ Config &amp; Assumptions'!B41&gt;=9,AI27&lt;&gt;""),AI27,0)+IF(AND('⚙ Config &amp; Assumptions'!B41&gt;=10,AM27&lt;&gt;""),AM27,0)+IF(AND('⚙ Config &amp; Assumptions'!B41&gt;=11,AQ27&lt;&gt;""),AQ27,0)+IF(AND('⚙ Config &amp; Assumptions'!B41&gt;=12,AU27&lt;&gt;""),AU27,0)</f>
        <v>0</v>
      </c>
      <c r="BD27" s="119" t="str">
        <f aca="false">IF(BC27=0,"",BC27-BB27)</f>
        <v/>
      </c>
      <c r="BE27" s="108" t="str">
        <f aca="false">IF(OR(BC27=0,BB27=0),"",(BC27-BB27)/BB27)</f>
        <v/>
      </c>
    </row>
    <row r="28" customFormat="false" ht="15" hidden="false" customHeight="true" outlineLevel="0" collapsed="false">
      <c r="A28" s="13" t="s">
        <v>383</v>
      </c>
      <c r="B28" s="45" t="n">
        <f aca="false">IF(B14=0,0,B27/B14)</f>
        <v>0.172747447847315</v>
      </c>
      <c r="C28" s="123"/>
      <c r="D28" s="45" t="str">
        <f aca="false">IF(C28="","",C28-B28)</f>
        <v/>
      </c>
      <c r="E28" s="45" t="str">
        <f aca="false">IF(OR(C28="",B28=0),"",(C28-B28)/B28)</f>
        <v/>
      </c>
      <c r="F28" s="45" t="n">
        <f aca="false">IF(F14=0,0,F27/F14)</f>
        <v>0.181539481315768</v>
      </c>
      <c r="G28" s="123"/>
      <c r="H28" s="45" t="str">
        <f aca="false">IF(G28="","",G28-F28)</f>
        <v/>
      </c>
      <c r="I28" s="45" t="str">
        <f aca="false">IF(OR(G28="",F28=0),"",(G28-F28)/F28)</f>
        <v/>
      </c>
      <c r="J28" s="45" t="n">
        <f aca="false">IF(J14=0,0,J27/J14)</f>
        <v>0.162810707456979</v>
      </c>
      <c r="K28" s="123"/>
      <c r="L28" s="45" t="str">
        <f aca="false">IF(K28="","",K28-J28)</f>
        <v/>
      </c>
      <c r="M28" s="45" t="str">
        <f aca="false">IF(OR(K28="",J28=0),"",(K28-J28)/J28)</f>
        <v/>
      </c>
      <c r="N28" s="45" t="n">
        <f aca="false">IF(N14=0,0,N27/N14)</f>
        <v>0.181539481315768</v>
      </c>
      <c r="O28" s="123"/>
      <c r="P28" s="45" t="str">
        <f aca="false">IF(O28="","",O28-N28)</f>
        <v/>
      </c>
      <c r="Q28" s="45" t="str">
        <f aca="false">IF(OR(O28="",N28=0),"",(O28-N28)/N28)</f>
        <v/>
      </c>
      <c r="R28" s="45" t="n">
        <f aca="false">IF(R14=0,0,R27/R14)</f>
        <v>0.201960919698957</v>
      </c>
      <c r="S28" s="123"/>
      <c r="T28" s="45" t="str">
        <f aca="false">IF(S28="","",S28-R28)</f>
        <v/>
      </c>
      <c r="U28" s="45" t="str">
        <f aca="false">IF(OR(S28="",R28=0),"",(S28-R28)/R28)</f>
        <v/>
      </c>
      <c r="V28" s="45" t="n">
        <f aca="false">IF(V14=0,0,V27/V14)</f>
        <v>0.207286760858189</v>
      </c>
      <c r="W28" s="123"/>
      <c r="X28" s="45" t="str">
        <f aca="false">IF(W28="","",W28-V28)</f>
        <v/>
      </c>
      <c r="Y28" s="45" t="str">
        <f aca="false">IF(OR(W28="",V28=0),"",(W28-V28)/V28)</f>
        <v/>
      </c>
      <c r="Z28" s="45" t="n">
        <f aca="false">IF(Z14=0,0,Z27/Z14)</f>
        <v>0.21209296544867</v>
      </c>
      <c r="AA28" s="123"/>
      <c r="AB28" s="45" t="str">
        <f aca="false">IF(AA28="","",AA28-Z28)</f>
        <v/>
      </c>
      <c r="AC28" s="45" t="str">
        <f aca="false">IF(OR(AA28="",Z28=0),"",(AA28-Z28)/Z28)</f>
        <v/>
      </c>
      <c r="AD28" s="45" t="n">
        <f aca="false">IF(AD14=0,0,AD27/AD14)</f>
        <v>0.207286760858189</v>
      </c>
      <c r="AE28" s="123"/>
      <c r="AF28" s="45" t="str">
        <f aca="false">IF(AE28="","",AE28-AD28)</f>
        <v/>
      </c>
      <c r="AG28" s="45" t="str">
        <f aca="false">IF(OR(AE28="",AD28=0),"",(AE28-AD28)/AD28)</f>
        <v/>
      </c>
      <c r="AH28" s="45" t="n">
        <f aca="false">IF(AH14=0,0,AH27/AH14)</f>
        <v>0.201960919698957</v>
      </c>
      <c r="AI28" s="123"/>
      <c r="AJ28" s="45" t="str">
        <f aca="false">IF(AI28="","",AI28-AH28)</f>
        <v/>
      </c>
      <c r="AK28" s="45" t="str">
        <f aca="false">IF(OR(AI28="",AH28=0),"",(AI28-AH28)/AH28)</f>
        <v/>
      </c>
      <c r="AL28" s="45" t="n">
        <f aca="false">IF(AL14=0,0,AL27/AL14)</f>
        <v>0.201960919698957</v>
      </c>
      <c r="AM28" s="123"/>
      <c r="AN28" s="45" t="str">
        <f aca="false">IF(AM28="","",AM28-AL28)</f>
        <v/>
      </c>
      <c r="AO28" s="45" t="str">
        <f aca="false">IF(OR(AM28="",AL28=0),"",(AM28-AL28)/AL28)</f>
        <v/>
      </c>
      <c r="AP28" s="45" t="n">
        <f aca="false">IF(AP14=0,0,AP27/AP14)</f>
        <v>0.196008188331627</v>
      </c>
      <c r="AQ28" s="123"/>
      <c r="AR28" s="45" t="str">
        <f aca="false">IF(AQ28="","",AQ28-AP28)</f>
        <v/>
      </c>
      <c r="AS28" s="45" t="str">
        <f aca="false">IF(OR(AQ28="",AP28=0),"",(AQ28-AP28)/AP28)</f>
        <v/>
      </c>
      <c r="AT28" s="45" t="n">
        <f aca="false">IF(AT14=0,0,AT27/AT14)</f>
        <v>0.172747447847315</v>
      </c>
      <c r="AU28" s="123"/>
      <c r="AV28" s="45" t="str">
        <f aca="false">IF(AU28="","",AU28-AT28)</f>
        <v/>
      </c>
      <c r="AW28" s="45" t="str">
        <f aca="false">IF(OR(AU28="",AT28=0),"",(AU28-AT28)/AT28)</f>
        <v/>
      </c>
      <c r="AX28" s="106" t="n">
        <f aca="false">CHOOSE('⚙ Config &amp; Assumptions'!B41,B28,F28,J28,N28,R28,V28,Z28,AD28,AH28,AL28,AP28,AT28)</f>
        <v>0.172747447847315</v>
      </c>
      <c r="AY28" s="106" t="str">
        <f aca="false">IF(CHOOSE('⚙ Config &amp; Assumptions'!B41,C28,G28,K28,O28,S28,W28,AA28,AE28,AI28,AM28,AQ28,AU28)="","",CHOOSE('⚙ Config &amp; Assumptions'!B41,C28,G28,K28,O28,S28,W28,AA28,AE28,AI28,AM28,AQ28,AU28))</f>
        <v/>
      </c>
      <c r="AZ28" s="106" t="str">
        <f aca="false">IF(AY28="","",AY28-AX28)</f>
        <v/>
      </c>
      <c r="BA28" s="106" t="str">
        <f aca="false">IF(OR(AY28="",AX28=0),"",(AY28-AX28)/AX28)</f>
        <v/>
      </c>
      <c r="BB28" s="108" t="n">
        <f aca="false">IF('⚙ Config &amp; Assumptions'!B41&gt;=1,B28,0)+IF('⚙ Config &amp; Assumptions'!B41&gt;=2,F28,0)+IF('⚙ Config &amp; Assumptions'!B41&gt;=3,J28,0)+IF('⚙ Config &amp; Assumptions'!B41&gt;=4,N28,0)+IF('⚙ Config &amp; Assumptions'!B41&gt;=5,R28,0)+IF('⚙ Config &amp; Assumptions'!B41&gt;=6,V28,0)+IF('⚙ Config &amp; Assumptions'!B41&gt;=7,Z28,0)+IF('⚙ Config &amp; Assumptions'!B41&gt;=8,AD28,0)+IF('⚙ Config &amp; Assumptions'!B41&gt;=9,AH28,0)+IF('⚙ Config &amp; Assumptions'!B41&gt;=10,AL28,0)+IF('⚙ Config &amp; Assumptions'!B41&gt;=11,AP28,0)+IF('⚙ Config &amp; Assumptions'!B41&gt;=12,AT28,0)</f>
        <v>0.172747447847315</v>
      </c>
      <c r="BC28" s="108" t="n">
        <f aca="false">IF(AND('⚙ Config &amp; Assumptions'!B41&gt;=1,C28&lt;&gt;""),C28,0)+IF(AND('⚙ Config &amp; Assumptions'!B41&gt;=2,G28&lt;&gt;""),G28,0)+IF(AND('⚙ Config &amp; Assumptions'!B41&gt;=3,K28&lt;&gt;""),K28,0)+IF(AND('⚙ Config &amp; Assumptions'!B41&gt;=4,O28&lt;&gt;""),O28,0)+IF(AND('⚙ Config &amp; Assumptions'!B41&gt;=5,S28&lt;&gt;""),S28,0)+IF(AND('⚙ Config &amp; Assumptions'!B41&gt;=6,W28&lt;&gt;""),W28,0)+IF(AND('⚙ Config &amp; Assumptions'!B41&gt;=7,AA28&lt;&gt;""),AA28,0)+IF(AND('⚙ Config &amp; Assumptions'!B41&gt;=8,AE28&lt;&gt;""),AE28,0)+IF(AND('⚙ Config &amp; Assumptions'!B41&gt;=9,AI28&lt;&gt;""),AI28,0)+IF(AND('⚙ Config &amp; Assumptions'!B41&gt;=10,AM28&lt;&gt;""),AM28,0)+IF(AND('⚙ Config &amp; Assumptions'!B41&gt;=11,AQ28&lt;&gt;""),AQ28,0)+IF(AND('⚙ Config &amp; Assumptions'!B41&gt;=12,AU28&lt;&gt;""),AU28,0)</f>
        <v>0</v>
      </c>
      <c r="BD28" s="108" t="str">
        <f aca="false">IF(BC28=0,"",BC28-BB28)</f>
        <v/>
      </c>
      <c r="BE28" s="108" t="str">
        <f aca="false">IF(OR(BC28=0,BB28=0),"",(BC28-BB28)/BB28)</f>
        <v/>
      </c>
    </row>
    <row r="29" customFormat="false" ht="15" hidden="false" customHeight="true" outlineLevel="0" collapsed="false">
      <c r="A29" s="7" t="s">
        <v>456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</row>
    <row r="30" customFormat="false" ht="15" hidden="false" customHeight="true" outlineLevel="0" collapsed="false">
      <c r="A30" s="13" t="s">
        <v>457</v>
      </c>
      <c r="B30" s="91" t="n">
        <f aca="false">ROUND('⚙ Config &amp; Assumptions'!B5*'⚙ Config &amp; Assumptions'!B7*(1-'⚙ Config &amp; Assumptions'!B22)*'⚙ Config &amp; Assumptions'!B21*'⚙ Config &amp; Assumptions'!B32,0)</f>
        <v>11</v>
      </c>
      <c r="C30" s="117"/>
      <c r="D30" s="91" t="str">
        <f aca="false">IF(C30="","",C30-B30)</f>
        <v/>
      </c>
      <c r="E30" s="45" t="str">
        <f aca="false">IF(OR(C30="",B30=0),"",(C30-B30)/B30)</f>
        <v/>
      </c>
      <c r="F30" s="91" t="n">
        <f aca="false">ROUND('⚙ Config &amp; Assumptions'!B5*'⚙ Config &amp; Assumptions'!B8*(1-'⚙ Config &amp; Assumptions'!B22)*'⚙ Config &amp; Assumptions'!B21*'⚙ Config &amp; Assumptions'!B32,0)</f>
        <v>12</v>
      </c>
      <c r="G30" s="117"/>
      <c r="H30" s="91" t="str">
        <f aca="false">IF(G30="","",G30-F30)</f>
        <v/>
      </c>
      <c r="I30" s="45" t="str">
        <f aca="false">IF(OR(G30="",F30=0),"",(G30-F30)/F30)</f>
        <v/>
      </c>
      <c r="J30" s="91" t="n">
        <f aca="false">ROUND('⚙ Config &amp; Assumptions'!B5*'⚙ Config &amp; Assumptions'!B9*(1-'⚙ Config &amp; Assumptions'!B22)*'⚙ Config &amp; Assumptions'!B21*'⚙ Config &amp; Assumptions'!B32,0)</f>
        <v>10</v>
      </c>
      <c r="K30" s="117"/>
      <c r="L30" s="91" t="str">
        <f aca="false">IF(K30="","",K30-J30)</f>
        <v/>
      </c>
      <c r="M30" s="45" t="str">
        <f aca="false">IF(OR(K30="",J30=0),"",(K30-J30)/J30)</f>
        <v/>
      </c>
      <c r="N30" s="91" t="n">
        <f aca="false">ROUND('⚙ Config &amp; Assumptions'!B5*'⚙ Config &amp; Assumptions'!B10*(1-'⚙ Config &amp; Assumptions'!B22)*'⚙ Config &amp; Assumptions'!B21*'⚙ Config &amp; Assumptions'!B32,0)</f>
        <v>12</v>
      </c>
      <c r="O30" s="117"/>
      <c r="P30" s="91" t="str">
        <f aca="false">IF(O30="","",O30-N30)</f>
        <v/>
      </c>
      <c r="Q30" s="45" t="str">
        <f aca="false">IF(OR(O30="",N30=0),"",(O30-N30)/N30)</f>
        <v/>
      </c>
      <c r="R30" s="91" t="n">
        <f aca="false">ROUND('⚙ Config &amp; Assumptions'!B5*'⚙ Config &amp; Assumptions'!B11*(1-'⚙ Config &amp; Assumptions'!B22)*'⚙ Config &amp; Assumptions'!B21*'⚙ Config &amp; Assumptions'!B32,0)</f>
        <v>14</v>
      </c>
      <c r="S30" s="117"/>
      <c r="T30" s="91" t="str">
        <f aca="false">IF(S30="","",S30-R30)</f>
        <v/>
      </c>
      <c r="U30" s="45" t="str">
        <f aca="false">IF(OR(S30="",R30=0),"",(S30-R30)/R30)</f>
        <v/>
      </c>
      <c r="V30" s="91" t="n">
        <f aca="false">ROUND('⚙ Config &amp; Assumptions'!B5*'⚙ Config &amp; Assumptions'!B12*(1-'⚙ Config &amp; Assumptions'!B22)*'⚙ Config &amp; Assumptions'!B21*'⚙ Config &amp; Assumptions'!B32,0)</f>
        <v>15</v>
      </c>
      <c r="W30" s="117"/>
      <c r="X30" s="91" t="str">
        <f aca="false">IF(W30="","",W30-V30)</f>
        <v/>
      </c>
      <c r="Y30" s="45" t="str">
        <f aca="false">IF(OR(W30="",V30=0),"",(W30-V30)/V30)</f>
        <v/>
      </c>
      <c r="Z30" s="91" t="n">
        <f aca="false">ROUND('⚙ Config &amp; Assumptions'!B5*'⚙ Config &amp; Assumptions'!B13*(1-'⚙ Config &amp; Assumptions'!B22)*'⚙ Config &amp; Assumptions'!B21*'⚙ Config &amp; Assumptions'!B32,0)</f>
        <v>16</v>
      </c>
      <c r="AA30" s="117"/>
      <c r="AB30" s="91" t="str">
        <f aca="false">IF(AA30="","",AA30-Z30)</f>
        <v/>
      </c>
      <c r="AC30" s="45" t="str">
        <f aca="false">IF(OR(AA30="",Z30=0),"",(AA30-Z30)/Z30)</f>
        <v/>
      </c>
      <c r="AD30" s="91" t="n">
        <f aca="false">ROUND('⚙ Config &amp; Assumptions'!B5*'⚙ Config &amp; Assumptions'!B14*(1-'⚙ Config &amp; Assumptions'!B22)*'⚙ Config &amp; Assumptions'!B21*'⚙ Config &amp; Assumptions'!B32,0)</f>
        <v>15</v>
      </c>
      <c r="AE30" s="117"/>
      <c r="AF30" s="91" t="str">
        <f aca="false">IF(AE30="","",AE30-AD30)</f>
        <v/>
      </c>
      <c r="AG30" s="45" t="str">
        <f aca="false">IF(OR(AE30="",AD30=0),"",(AE30-AD30)/AD30)</f>
        <v/>
      </c>
      <c r="AH30" s="91" t="n">
        <f aca="false">ROUND('⚙ Config &amp; Assumptions'!B5*'⚙ Config &amp; Assumptions'!B15*(1-'⚙ Config &amp; Assumptions'!B22)*'⚙ Config &amp; Assumptions'!B21*'⚙ Config &amp; Assumptions'!B32,0)</f>
        <v>14</v>
      </c>
      <c r="AI30" s="117"/>
      <c r="AJ30" s="91" t="str">
        <f aca="false">IF(AI30="","",AI30-AH30)</f>
        <v/>
      </c>
      <c r="AK30" s="45" t="str">
        <f aca="false">IF(OR(AI30="",AH30=0),"",(AI30-AH30)/AH30)</f>
        <v/>
      </c>
      <c r="AL30" s="91" t="n">
        <f aca="false">ROUND('⚙ Config &amp; Assumptions'!B5*'⚙ Config &amp; Assumptions'!B16*(1-'⚙ Config &amp; Assumptions'!B22)*'⚙ Config &amp; Assumptions'!B21*'⚙ Config &amp; Assumptions'!B32,0)</f>
        <v>14</v>
      </c>
      <c r="AM30" s="117"/>
      <c r="AN30" s="91" t="str">
        <f aca="false">IF(AM30="","",AM30-AL30)</f>
        <v/>
      </c>
      <c r="AO30" s="45" t="str">
        <f aca="false">IF(OR(AM30="",AL30=0),"",(AM30-AL30)/AL30)</f>
        <v/>
      </c>
      <c r="AP30" s="91" t="n">
        <f aca="false">ROUND('⚙ Config &amp; Assumptions'!B5*'⚙ Config &amp; Assumptions'!B17*(1-'⚙ Config &amp; Assumptions'!B22)*'⚙ Config &amp; Assumptions'!B21*'⚙ Config &amp; Assumptions'!B32,0)</f>
        <v>14</v>
      </c>
      <c r="AQ30" s="117"/>
      <c r="AR30" s="91" t="str">
        <f aca="false">IF(AQ30="","",AQ30-AP30)</f>
        <v/>
      </c>
      <c r="AS30" s="45" t="str">
        <f aca="false">IF(OR(AQ30="",AP30=0),"",(AQ30-AP30)/AP30)</f>
        <v/>
      </c>
      <c r="AT30" s="91" t="n">
        <f aca="false">ROUND('⚙ Config &amp; Assumptions'!B5*'⚙ Config &amp; Assumptions'!B18*(1-'⚙ Config &amp; Assumptions'!B22)*'⚙ Config &amp; Assumptions'!B21*'⚙ Config &amp; Assumptions'!B32,0)</f>
        <v>11</v>
      </c>
      <c r="AU30" s="117"/>
      <c r="AV30" s="91" t="str">
        <f aca="false">IF(AU30="","",AU30-AT30)</f>
        <v/>
      </c>
      <c r="AW30" s="45" t="str">
        <f aca="false">IF(OR(AU30="",AT30=0),"",(AU30-AT30)/AT30)</f>
        <v/>
      </c>
      <c r="AX30" s="118" t="n">
        <f aca="false">CHOOSE('⚙ Config &amp; Assumptions'!B41,B30,F30,J30,N30,R30,V30,Z30,AD30,AH30,AL30,AP30,AT30)</f>
        <v>11</v>
      </c>
      <c r="AY30" s="118" t="str">
        <f aca="false">IF(CHOOSE('⚙ Config &amp; Assumptions'!B41,C30,G30,K30,O30,S30,W30,AA30,AE30,AI30,AM30,AQ30,AU30)="","",CHOOSE('⚙ Config &amp; Assumptions'!B41,C30,G30,K30,O30,S30,W30,AA30,AE30,AI30,AM30,AQ30,AU30))</f>
        <v/>
      </c>
      <c r="AZ30" s="118" t="str">
        <f aca="false">IF(AY30="","",AY30-AX30)</f>
        <v/>
      </c>
      <c r="BA30" s="106" t="str">
        <f aca="false">IF(OR(AY30="",AX30=0),"",(AY30-AX30)/AX30)</f>
        <v/>
      </c>
      <c r="BB30" s="119" t="n">
        <f aca="false">IF('⚙ Config &amp; Assumptions'!B41&gt;=1,B30,0)+IF('⚙ Config &amp; Assumptions'!B41&gt;=2,F30,0)+IF('⚙ Config &amp; Assumptions'!B41&gt;=3,J30,0)+IF('⚙ Config &amp; Assumptions'!B41&gt;=4,N30,0)+IF('⚙ Config &amp; Assumptions'!B41&gt;=5,R30,0)+IF('⚙ Config &amp; Assumptions'!B41&gt;=6,V30,0)+IF('⚙ Config &amp; Assumptions'!B41&gt;=7,Z30,0)+IF('⚙ Config &amp; Assumptions'!B41&gt;=8,AD30,0)+IF('⚙ Config &amp; Assumptions'!B41&gt;=9,AH30,0)+IF('⚙ Config &amp; Assumptions'!B41&gt;=10,AL30,0)+IF('⚙ Config &amp; Assumptions'!B41&gt;=11,AP30,0)+IF('⚙ Config &amp; Assumptions'!B41&gt;=12,AT30,0)</f>
        <v>11</v>
      </c>
      <c r="BC30" s="119" t="n">
        <f aca="false">IF(AND('⚙ Config &amp; Assumptions'!B41&gt;=1,C30&lt;&gt;""),C30,0)+IF(AND('⚙ Config &amp; Assumptions'!B41&gt;=2,G30&lt;&gt;""),G30,0)+IF(AND('⚙ Config &amp; Assumptions'!B41&gt;=3,K30&lt;&gt;""),K30,0)+IF(AND('⚙ Config &amp; Assumptions'!B41&gt;=4,O30&lt;&gt;""),O30,0)+IF(AND('⚙ Config &amp; Assumptions'!B41&gt;=5,S30&lt;&gt;""),S30,0)+IF(AND('⚙ Config &amp; Assumptions'!B41&gt;=6,W30&lt;&gt;""),W30,0)+IF(AND('⚙ Config &amp; Assumptions'!B41&gt;=7,AA30&lt;&gt;""),AA30,0)+IF(AND('⚙ Config &amp; Assumptions'!B41&gt;=8,AE30&lt;&gt;""),AE30,0)+IF(AND('⚙ Config &amp; Assumptions'!B41&gt;=9,AI30&lt;&gt;""),AI30,0)+IF(AND('⚙ Config &amp; Assumptions'!B41&gt;=10,AM30&lt;&gt;""),AM30,0)+IF(AND('⚙ Config &amp; Assumptions'!B41&gt;=11,AQ30&lt;&gt;""),AQ30,0)+IF(AND('⚙ Config &amp; Assumptions'!B41&gt;=12,AU30&lt;&gt;""),AU30,0)</f>
        <v>0</v>
      </c>
      <c r="BD30" s="119" t="str">
        <f aca="false">IF(BC30=0,"",BC30-BB30)</f>
        <v/>
      </c>
      <c r="BE30" s="108" t="str">
        <f aca="false">IF(OR(BC30=0,BB30=0),"",(BC30-BB30)/BB30)</f>
        <v/>
      </c>
    </row>
    <row r="31" customFormat="false" ht="15" hidden="false" customHeight="true" outlineLevel="0" collapsed="false">
      <c r="A31" s="7" t="s">
        <v>458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</row>
    <row r="32" customFormat="false" ht="15" hidden="false" customHeight="true" outlineLevel="0" collapsed="false">
      <c r="A32" s="113" t="s">
        <v>459</v>
      </c>
      <c r="B32" s="120" t="n">
        <f aca="false">B27-B30</f>
        <v>1935</v>
      </c>
      <c r="C32" s="117"/>
      <c r="D32" s="91" t="str">
        <f aca="false">IF(C32="","",C32-B32)</f>
        <v/>
      </c>
      <c r="E32" s="45" t="str">
        <f aca="false">IF(OR(C32="",B32=0),"",(C32-B32)/B32)</f>
        <v/>
      </c>
      <c r="F32" s="120" t="n">
        <f aca="false">F27-F30</f>
        <v>2179</v>
      </c>
      <c r="G32" s="117"/>
      <c r="H32" s="91" t="str">
        <f aca="false">IF(G32="","",G32-F32)</f>
        <v/>
      </c>
      <c r="I32" s="45" t="str">
        <f aca="false">IF(OR(G32="",F32=0),"",(G32-F32)/F32)</f>
        <v/>
      </c>
      <c r="J32" s="120" t="n">
        <f aca="false">J27-J30</f>
        <v>1693</v>
      </c>
      <c r="K32" s="117"/>
      <c r="L32" s="91" t="str">
        <f aca="false">IF(K32="","",K32-J32)</f>
        <v/>
      </c>
      <c r="M32" s="45" t="str">
        <f aca="false">IF(OR(K32="",J32=0),"",(K32-J32)/J32)</f>
        <v/>
      </c>
      <c r="N32" s="120" t="n">
        <f aca="false">N27-N30</f>
        <v>2179</v>
      </c>
      <c r="O32" s="117"/>
      <c r="P32" s="91" t="str">
        <f aca="false">IF(O32="","",O32-N32)</f>
        <v/>
      </c>
      <c r="Q32" s="45" t="str">
        <f aca="false">IF(OR(O32="",N32=0),"",(O32-N32)/N32)</f>
        <v/>
      </c>
      <c r="R32" s="120" t="n">
        <f aca="false">R27-R30</f>
        <v>2911</v>
      </c>
      <c r="S32" s="117"/>
      <c r="T32" s="91" t="str">
        <f aca="false">IF(S32="","",S32-R32)</f>
        <v/>
      </c>
      <c r="U32" s="45" t="str">
        <f aca="false">IF(OR(S32="",R32=0),"",(S32-R32)/R32)</f>
        <v/>
      </c>
      <c r="V32" s="120" t="n">
        <f aca="false">V27-V30</f>
        <v>3154</v>
      </c>
      <c r="W32" s="117"/>
      <c r="X32" s="91" t="str">
        <f aca="false">IF(W32="","",W32-V32)</f>
        <v/>
      </c>
      <c r="Y32" s="45" t="str">
        <f aca="false">IF(OR(W32="",V32=0),"",(W32-V32)/V32)</f>
        <v/>
      </c>
      <c r="Z32" s="120" t="n">
        <f aca="false">Z27-Z30</f>
        <v>3397</v>
      </c>
      <c r="AA32" s="117"/>
      <c r="AB32" s="91" t="str">
        <f aca="false">IF(AA32="","",AA32-Z32)</f>
        <v/>
      </c>
      <c r="AC32" s="45" t="str">
        <f aca="false">IF(OR(AA32="",Z32=0),"",(AA32-Z32)/Z32)</f>
        <v/>
      </c>
      <c r="AD32" s="120" t="n">
        <f aca="false">AD27-AD30</f>
        <v>3154</v>
      </c>
      <c r="AE32" s="117"/>
      <c r="AF32" s="91" t="str">
        <f aca="false">IF(AE32="","",AE32-AD32)</f>
        <v/>
      </c>
      <c r="AG32" s="45" t="str">
        <f aca="false">IF(OR(AE32="",AD32=0),"",(AE32-AD32)/AD32)</f>
        <v/>
      </c>
      <c r="AH32" s="120" t="n">
        <f aca="false">AH27-AH30</f>
        <v>2911</v>
      </c>
      <c r="AI32" s="117"/>
      <c r="AJ32" s="91" t="str">
        <f aca="false">IF(AI32="","",AI32-AH32)</f>
        <v/>
      </c>
      <c r="AK32" s="45" t="str">
        <f aca="false">IF(OR(AI32="",AH32=0),"",(AI32-AH32)/AH32)</f>
        <v/>
      </c>
      <c r="AL32" s="120" t="n">
        <f aca="false">AL27-AL30</f>
        <v>2911</v>
      </c>
      <c r="AM32" s="117"/>
      <c r="AN32" s="91" t="str">
        <f aca="false">IF(AM32="","",AM32-AL32)</f>
        <v/>
      </c>
      <c r="AO32" s="45" t="str">
        <f aca="false">IF(OR(AM32="",AL32=0),"",(AM32-AL32)/AL32)</f>
        <v/>
      </c>
      <c r="AP32" s="120" t="n">
        <f aca="false">AP27-AP30</f>
        <v>2667</v>
      </c>
      <c r="AQ32" s="117"/>
      <c r="AR32" s="91" t="str">
        <f aca="false">IF(AQ32="","",AQ32-AP32)</f>
        <v/>
      </c>
      <c r="AS32" s="45" t="str">
        <f aca="false">IF(OR(AQ32="",AP32=0),"",(AQ32-AP32)/AP32)</f>
        <v/>
      </c>
      <c r="AT32" s="120" t="n">
        <f aca="false">AT27-AT30</f>
        <v>1935</v>
      </c>
      <c r="AU32" s="117"/>
      <c r="AV32" s="91" t="str">
        <f aca="false">IF(AU32="","",AU32-AT32)</f>
        <v/>
      </c>
      <c r="AW32" s="45" t="str">
        <f aca="false">IF(OR(AU32="",AT32=0),"",(AU32-AT32)/AT32)</f>
        <v/>
      </c>
      <c r="AX32" s="121" t="n">
        <f aca="false">CHOOSE('⚙ Config &amp; Assumptions'!B41,B32,F32,J32,N32,R32,V32,Z32,AD32,AH32,AL32,AP32,AT32)</f>
        <v>1935</v>
      </c>
      <c r="AY32" s="118" t="str">
        <f aca="false">IF(CHOOSE('⚙ Config &amp; Assumptions'!B41,C32,G32,K32,O32,S32,W32,AA32,AE32,AI32,AM32,AQ32,AU32)="","",CHOOSE('⚙ Config &amp; Assumptions'!B41,C32,G32,K32,O32,S32,W32,AA32,AE32,AI32,AM32,AQ32,AU32))</f>
        <v/>
      </c>
      <c r="AZ32" s="118" t="str">
        <f aca="false">IF(AY32="","",AY32-AX32)</f>
        <v/>
      </c>
      <c r="BA32" s="106" t="str">
        <f aca="false">IF(OR(AY32="",AX32=0),"",(AY32-AX32)/AX32)</f>
        <v/>
      </c>
      <c r="BB32" s="122" t="n">
        <f aca="false">IF('⚙ Config &amp; Assumptions'!B41&gt;=1,B32,0)+IF('⚙ Config &amp; Assumptions'!B41&gt;=2,F32,0)+IF('⚙ Config &amp; Assumptions'!B41&gt;=3,J32,0)+IF('⚙ Config &amp; Assumptions'!B41&gt;=4,N32,0)+IF('⚙ Config &amp; Assumptions'!B41&gt;=5,R32,0)+IF('⚙ Config &amp; Assumptions'!B41&gt;=6,V32,0)+IF('⚙ Config &amp; Assumptions'!B41&gt;=7,Z32,0)+IF('⚙ Config &amp; Assumptions'!B41&gt;=8,AD32,0)+IF('⚙ Config &amp; Assumptions'!B41&gt;=9,AH32,0)+IF('⚙ Config &amp; Assumptions'!B41&gt;=10,AL32,0)+IF('⚙ Config &amp; Assumptions'!B41&gt;=11,AP32,0)+IF('⚙ Config &amp; Assumptions'!B41&gt;=12,AT32,0)</f>
        <v>1935</v>
      </c>
      <c r="BC32" s="119" t="n">
        <f aca="false">IF(AND('⚙ Config &amp; Assumptions'!B41&gt;=1,C32&lt;&gt;""),C32,0)+IF(AND('⚙ Config &amp; Assumptions'!B41&gt;=2,G32&lt;&gt;""),G32,0)+IF(AND('⚙ Config &amp; Assumptions'!B41&gt;=3,K32&lt;&gt;""),K32,0)+IF(AND('⚙ Config &amp; Assumptions'!B41&gt;=4,O32&lt;&gt;""),O32,0)+IF(AND('⚙ Config &amp; Assumptions'!B41&gt;=5,S32&lt;&gt;""),S32,0)+IF(AND('⚙ Config &amp; Assumptions'!B41&gt;=6,W32&lt;&gt;""),W32,0)+IF(AND('⚙ Config &amp; Assumptions'!B41&gt;=7,AA32&lt;&gt;""),AA32,0)+IF(AND('⚙ Config &amp; Assumptions'!B41&gt;=8,AE32&lt;&gt;""),AE32,0)+IF(AND('⚙ Config &amp; Assumptions'!B41&gt;=9,AI32&lt;&gt;""),AI32,0)+IF(AND('⚙ Config &amp; Assumptions'!B41&gt;=10,AM32&lt;&gt;""),AM32,0)+IF(AND('⚙ Config &amp; Assumptions'!B41&gt;=11,AQ32&lt;&gt;""),AQ32,0)+IF(AND('⚙ Config &amp; Assumptions'!B41&gt;=12,AU32&lt;&gt;""),AU32,0)</f>
        <v>0</v>
      </c>
      <c r="BD32" s="119" t="str">
        <f aca="false">IF(BC32=0,"",BC32-BB32)</f>
        <v/>
      </c>
      <c r="BE32" s="108" t="str">
        <f aca="false">IF(OR(BC32=0,BB32=0),"",(BC32-BB32)/BB32)</f>
        <v/>
      </c>
    </row>
    <row r="33" customFormat="false" ht="15" hidden="false" customHeight="true" outlineLevel="0" collapsed="false">
      <c r="A33" s="13" t="s">
        <v>391</v>
      </c>
      <c r="B33" s="45" t="n">
        <f aca="false">IF(B14=0,0,B32/B14)</f>
        <v>0.171770972037284</v>
      </c>
      <c r="C33" s="123"/>
      <c r="D33" s="45" t="str">
        <f aca="false">IF(C33="","",C33-B33)</f>
        <v/>
      </c>
      <c r="E33" s="45" t="str">
        <f aca="false">IF(OR(C33="",B33=0),"",(C33-B33)/B33)</f>
        <v/>
      </c>
      <c r="F33" s="45" t="n">
        <f aca="false">IF(F14=0,0,F32/F14)</f>
        <v>0.18054519844229</v>
      </c>
      <c r="G33" s="123"/>
      <c r="H33" s="45" t="str">
        <f aca="false">IF(G33="","",G33-F33)</f>
        <v/>
      </c>
      <c r="I33" s="45" t="str">
        <f aca="false">IF(OR(G33="",F33=0),"",(G33-F33)/F33)</f>
        <v/>
      </c>
      <c r="J33" s="45" t="n">
        <f aca="false">IF(J14=0,0,J32/J14)</f>
        <v>0.161854684512428</v>
      </c>
      <c r="K33" s="123"/>
      <c r="L33" s="45" t="str">
        <f aca="false">IF(K33="","",K33-J33)</f>
        <v/>
      </c>
      <c r="M33" s="45" t="str">
        <f aca="false">IF(OR(K33="",J33=0),"",(K33-J33)/J33)</f>
        <v/>
      </c>
      <c r="N33" s="45" t="n">
        <f aca="false">IF(N14=0,0,N32/N14)</f>
        <v>0.18054519844229</v>
      </c>
      <c r="O33" s="123"/>
      <c r="P33" s="45" t="str">
        <f aca="false">IF(O33="","",O33-N33)</f>
        <v/>
      </c>
      <c r="Q33" s="45" t="str">
        <f aca="false">IF(OR(O33="",N33=0),"",(O33-N33)/N33)</f>
        <v/>
      </c>
      <c r="R33" s="45" t="n">
        <f aca="false">IF(R14=0,0,R32/R14)</f>
        <v>0.200994269143133</v>
      </c>
      <c r="S33" s="123"/>
      <c r="T33" s="45" t="str">
        <f aca="false">IF(S33="","",S33-R33)</f>
        <v/>
      </c>
      <c r="U33" s="45" t="str">
        <f aca="false">IF(OR(S33="",R33=0),"",(S33-R33)/R33)</f>
        <v/>
      </c>
      <c r="V33" s="45" t="n">
        <f aca="false">IF(V14=0,0,V32/V14)</f>
        <v>0.206305599162742</v>
      </c>
      <c r="W33" s="123"/>
      <c r="X33" s="45" t="str">
        <f aca="false">IF(W33="","",W33-V33)</f>
        <v/>
      </c>
      <c r="Y33" s="45" t="str">
        <f aca="false">IF(OR(W33="",V33=0),"",(W33-V33)/V33)</f>
        <v/>
      </c>
      <c r="Z33" s="45" t="n">
        <f aca="false">IF(Z14=0,0,Z32/Z14)</f>
        <v>0.211098682575193</v>
      </c>
      <c r="AA33" s="123"/>
      <c r="AB33" s="45" t="str">
        <f aca="false">IF(AA33="","",AA33-Z33)</f>
        <v/>
      </c>
      <c r="AC33" s="45" t="str">
        <f aca="false">IF(OR(AA33="",Z33=0),"",(AA33-Z33)/Z33)</f>
        <v/>
      </c>
      <c r="AD33" s="45" t="n">
        <f aca="false">IF(AD14=0,0,AD32/AD14)</f>
        <v>0.206305599162742</v>
      </c>
      <c r="AE33" s="123"/>
      <c r="AF33" s="45" t="str">
        <f aca="false">IF(AE33="","",AE33-AD33)</f>
        <v/>
      </c>
      <c r="AG33" s="45" t="str">
        <f aca="false">IF(OR(AE33="",AD33=0),"",(AE33-AD33)/AD33)</f>
        <v/>
      </c>
      <c r="AH33" s="45" t="n">
        <f aca="false">IF(AH14=0,0,AH32/AH14)</f>
        <v>0.200994269143133</v>
      </c>
      <c r="AI33" s="123"/>
      <c r="AJ33" s="45" t="str">
        <f aca="false">IF(AI33="","",AI33-AH33)</f>
        <v/>
      </c>
      <c r="AK33" s="45" t="str">
        <f aca="false">IF(OR(AI33="",AH33=0),"",(AI33-AH33)/AH33)</f>
        <v/>
      </c>
      <c r="AL33" s="45" t="n">
        <f aca="false">IF(AL14=0,0,AL32/AL14)</f>
        <v>0.200994269143133</v>
      </c>
      <c r="AM33" s="123"/>
      <c r="AN33" s="45" t="str">
        <f aca="false">IF(AM33="","",AM33-AL33)</f>
        <v/>
      </c>
      <c r="AO33" s="45" t="str">
        <f aca="false">IF(OR(AM33="",AL33=0),"",(AM33-AL33)/AL33)</f>
        <v/>
      </c>
      <c r="AP33" s="45" t="n">
        <f aca="false">IF(AP14=0,0,AP32/AP14)</f>
        <v>0.194984646878199</v>
      </c>
      <c r="AQ33" s="123"/>
      <c r="AR33" s="45" t="str">
        <f aca="false">IF(AQ33="","",AQ33-AP33)</f>
        <v/>
      </c>
      <c r="AS33" s="45" t="str">
        <f aca="false">IF(OR(AQ33="",AP33=0),"",(AQ33-AP33)/AP33)</f>
        <v/>
      </c>
      <c r="AT33" s="45" t="n">
        <f aca="false">IF(AT14=0,0,AT32/AT14)</f>
        <v>0.171770972037284</v>
      </c>
      <c r="AU33" s="123"/>
      <c r="AV33" s="45" t="str">
        <f aca="false">IF(AU33="","",AU33-AT33)</f>
        <v/>
      </c>
      <c r="AW33" s="45" t="str">
        <f aca="false">IF(OR(AU33="",AT33=0),"",(AU33-AT33)/AT33)</f>
        <v/>
      </c>
      <c r="AX33" s="106" t="n">
        <f aca="false">CHOOSE('⚙ Config &amp; Assumptions'!B41,B33,F33,J33,N33,R33,V33,Z33,AD33,AH33,AL33,AP33,AT33)</f>
        <v>0.171770972037284</v>
      </c>
      <c r="AY33" s="106" t="str">
        <f aca="false">IF(CHOOSE('⚙ Config &amp; Assumptions'!B41,C33,G33,K33,O33,S33,W33,AA33,AE33,AI33,AM33,AQ33,AU33)="","",CHOOSE('⚙ Config &amp; Assumptions'!B41,C33,G33,K33,O33,S33,W33,AA33,AE33,AI33,AM33,AQ33,AU33))</f>
        <v/>
      </c>
      <c r="AZ33" s="106" t="str">
        <f aca="false">IF(AY33="","",AY33-AX33)</f>
        <v/>
      </c>
      <c r="BA33" s="106" t="str">
        <f aca="false">IF(OR(AY33="",AX33=0),"",(AY33-AX33)/AX33)</f>
        <v/>
      </c>
      <c r="BB33" s="108" t="n">
        <f aca="false">IF('⚙ Config &amp; Assumptions'!B41&gt;=1,B33,0)+IF('⚙ Config &amp; Assumptions'!B41&gt;=2,F33,0)+IF('⚙ Config &amp; Assumptions'!B41&gt;=3,J33,0)+IF('⚙ Config &amp; Assumptions'!B41&gt;=4,N33,0)+IF('⚙ Config &amp; Assumptions'!B41&gt;=5,R33,0)+IF('⚙ Config &amp; Assumptions'!B41&gt;=6,V33,0)+IF('⚙ Config &amp; Assumptions'!B41&gt;=7,Z33,0)+IF('⚙ Config &amp; Assumptions'!B41&gt;=8,AD33,0)+IF('⚙ Config &amp; Assumptions'!B41&gt;=9,AH33,0)+IF('⚙ Config &amp; Assumptions'!B41&gt;=10,AL33,0)+IF('⚙ Config &amp; Assumptions'!B41&gt;=11,AP33,0)+IF('⚙ Config &amp; Assumptions'!B41&gt;=12,AT33,0)</f>
        <v>0.171770972037284</v>
      </c>
      <c r="BC33" s="108" t="n">
        <f aca="false">IF(AND('⚙ Config &amp; Assumptions'!B41&gt;=1,C33&lt;&gt;""),C33,0)+IF(AND('⚙ Config &amp; Assumptions'!B41&gt;=2,G33&lt;&gt;""),G33,0)+IF(AND('⚙ Config &amp; Assumptions'!B41&gt;=3,K33&lt;&gt;""),K33,0)+IF(AND('⚙ Config &amp; Assumptions'!B41&gt;=4,O33&lt;&gt;""),O33,0)+IF(AND('⚙ Config &amp; Assumptions'!B41&gt;=5,S33&lt;&gt;""),S33,0)+IF(AND('⚙ Config &amp; Assumptions'!B41&gt;=6,W33&lt;&gt;""),W33,0)+IF(AND('⚙ Config &amp; Assumptions'!B41&gt;=7,AA33&lt;&gt;""),AA33,0)+IF(AND('⚙ Config &amp; Assumptions'!B41&gt;=8,AE33&lt;&gt;""),AE33,0)+IF(AND('⚙ Config &amp; Assumptions'!B41&gt;=9,AI33&lt;&gt;""),AI33,0)+IF(AND('⚙ Config &amp; Assumptions'!B41&gt;=10,AM33&lt;&gt;""),AM33,0)+IF(AND('⚙ Config &amp; Assumptions'!B41&gt;=11,AQ33&lt;&gt;""),AQ33,0)+IF(AND('⚙ Config &amp; Assumptions'!B41&gt;=12,AU33&lt;&gt;""),AU33,0)</f>
        <v>0</v>
      </c>
      <c r="BD33" s="108" t="str">
        <f aca="false">IF(BC33=0,"",BC33-BB33)</f>
        <v/>
      </c>
      <c r="BE33" s="108" t="str">
        <f aca="false">IF(OR(BC33=0,BB33=0),"",(BC33-BB33)/BB33)</f>
        <v/>
      </c>
    </row>
    <row r="34" customFormat="false" ht="15" hidden="false" customHeight="true" outlineLevel="0" collapsed="false">
      <c r="A34" s="7" t="s">
        <v>460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</row>
    <row r="35" customFormat="false" ht="15" hidden="false" customHeight="true" outlineLevel="0" collapsed="false">
      <c r="A35" s="13" t="s">
        <v>461</v>
      </c>
      <c r="B35" s="91" t="n">
        <f aca="false">ROUND('⚙ Config &amp; Assumptions'!B39/12,0)</f>
        <v>0</v>
      </c>
      <c r="C35" s="117"/>
      <c r="D35" s="91" t="str">
        <f aca="false">IF(C35="","",C35-B35)</f>
        <v/>
      </c>
      <c r="E35" s="45" t="str">
        <f aca="false">IF(OR(C35="",B35=0),"",(C35-B35)/B35)</f>
        <v/>
      </c>
      <c r="F35" s="91" t="n">
        <f aca="false">ROUND('⚙ Config &amp; Assumptions'!B39/12,0)</f>
        <v>0</v>
      </c>
      <c r="G35" s="117"/>
      <c r="H35" s="91" t="str">
        <f aca="false">IF(G35="","",G35-F35)</f>
        <v/>
      </c>
      <c r="I35" s="45" t="str">
        <f aca="false">IF(OR(G35="",F35=0),"",(G35-F35)/F35)</f>
        <v/>
      </c>
      <c r="J35" s="91" t="n">
        <f aca="false">ROUND('⚙ Config &amp; Assumptions'!B39/12,0)</f>
        <v>0</v>
      </c>
      <c r="K35" s="117"/>
      <c r="L35" s="91" t="str">
        <f aca="false">IF(K35="","",K35-J35)</f>
        <v/>
      </c>
      <c r="M35" s="45" t="str">
        <f aca="false">IF(OR(K35="",J35=0),"",(K35-J35)/J35)</f>
        <v/>
      </c>
      <c r="N35" s="91" t="n">
        <f aca="false">ROUND('⚙ Config &amp; Assumptions'!B39/12,0)</f>
        <v>0</v>
      </c>
      <c r="O35" s="117"/>
      <c r="P35" s="91" t="str">
        <f aca="false">IF(O35="","",O35-N35)</f>
        <v/>
      </c>
      <c r="Q35" s="45" t="str">
        <f aca="false">IF(OR(O35="",N35=0),"",(O35-N35)/N35)</f>
        <v/>
      </c>
      <c r="R35" s="91" t="n">
        <f aca="false">ROUND('⚙ Config &amp; Assumptions'!B39/12,0)</f>
        <v>0</v>
      </c>
      <c r="S35" s="117"/>
      <c r="T35" s="91" t="str">
        <f aca="false">IF(S35="","",S35-R35)</f>
        <v/>
      </c>
      <c r="U35" s="45" t="str">
        <f aca="false">IF(OR(S35="",R35=0),"",(S35-R35)/R35)</f>
        <v/>
      </c>
      <c r="V35" s="91" t="n">
        <f aca="false">ROUND('⚙ Config &amp; Assumptions'!B39/12,0)</f>
        <v>0</v>
      </c>
      <c r="W35" s="117"/>
      <c r="X35" s="91" t="str">
        <f aca="false">IF(W35="","",W35-V35)</f>
        <v/>
      </c>
      <c r="Y35" s="45" t="str">
        <f aca="false">IF(OR(W35="",V35=0),"",(W35-V35)/V35)</f>
        <v/>
      </c>
      <c r="Z35" s="91" t="n">
        <f aca="false">ROUND('⚙ Config &amp; Assumptions'!B39/12,0)</f>
        <v>0</v>
      </c>
      <c r="AA35" s="117"/>
      <c r="AB35" s="91" t="str">
        <f aca="false">IF(AA35="","",AA35-Z35)</f>
        <v/>
      </c>
      <c r="AC35" s="45" t="str">
        <f aca="false">IF(OR(AA35="",Z35=0),"",(AA35-Z35)/Z35)</f>
        <v/>
      </c>
      <c r="AD35" s="91" t="n">
        <f aca="false">ROUND('⚙ Config &amp; Assumptions'!B39/12,0)</f>
        <v>0</v>
      </c>
      <c r="AE35" s="117"/>
      <c r="AF35" s="91" t="str">
        <f aca="false">IF(AE35="","",AE35-AD35)</f>
        <v/>
      </c>
      <c r="AG35" s="45" t="str">
        <f aca="false">IF(OR(AE35="",AD35=0),"",(AE35-AD35)/AD35)</f>
        <v/>
      </c>
      <c r="AH35" s="91" t="n">
        <f aca="false">ROUND('⚙ Config &amp; Assumptions'!B39/12,0)</f>
        <v>0</v>
      </c>
      <c r="AI35" s="117"/>
      <c r="AJ35" s="91" t="str">
        <f aca="false">IF(AI35="","",AI35-AH35)</f>
        <v/>
      </c>
      <c r="AK35" s="45" t="str">
        <f aca="false">IF(OR(AI35="",AH35=0),"",(AI35-AH35)/AH35)</f>
        <v/>
      </c>
      <c r="AL35" s="91" t="n">
        <f aca="false">ROUND('⚙ Config &amp; Assumptions'!B39/12,0)</f>
        <v>0</v>
      </c>
      <c r="AM35" s="117"/>
      <c r="AN35" s="91" t="str">
        <f aca="false">IF(AM35="","",AM35-AL35)</f>
        <v/>
      </c>
      <c r="AO35" s="45" t="str">
        <f aca="false">IF(OR(AM35="",AL35=0),"",(AM35-AL35)/AL35)</f>
        <v/>
      </c>
      <c r="AP35" s="91" t="n">
        <f aca="false">ROUND('⚙ Config &amp; Assumptions'!B39/12,0)</f>
        <v>0</v>
      </c>
      <c r="AQ35" s="117"/>
      <c r="AR35" s="91" t="str">
        <f aca="false">IF(AQ35="","",AQ35-AP35)</f>
        <v/>
      </c>
      <c r="AS35" s="45" t="str">
        <f aca="false">IF(OR(AQ35="",AP35=0),"",(AQ35-AP35)/AP35)</f>
        <v/>
      </c>
      <c r="AT35" s="91" t="n">
        <f aca="false">ROUND('⚙ Config &amp; Assumptions'!B39/12,0)</f>
        <v>0</v>
      </c>
      <c r="AU35" s="117"/>
      <c r="AV35" s="91" t="str">
        <f aca="false">IF(AU35="","",AU35-AT35)</f>
        <v/>
      </c>
      <c r="AW35" s="45" t="str">
        <f aca="false">IF(OR(AU35="",AT35=0),"",(AU35-AT35)/AT35)</f>
        <v/>
      </c>
      <c r="AX35" s="118" t="n">
        <f aca="false">CHOOSE('⚙ Config &amp; Assumptions'!B41,B35,F35,J35,N35,R35,V35,Z35,AD35,AH35,AL35,AP35,AT35)</f>
        <v>0</v>
      </c>
      <c r="AY35" s="118" t="str">
        <f aca="false">IF(CHOOSE('⚙ Config &amp; Assumptions'!B41,C35,G35,K35,O35,S35,W35,AA35,AE35,AI35,AM35,AQ35,AU35)="","",CHOOSE('⚙ Config &amp; Assumptions'!B41,C35,G35,K35,O35,S35,W35,AA35,AE35,AI35,AM35,AQ35,AU35))</f>
        <v/>
      </c>
      <c r="AZ35" s="118" t="str">
        <f aca="false">IF(AY35="","",AY35-AX35)</f>
        <v/>
      </c>
      <c r="BA35" s="106" t="str">
        <f aca="false">IF(OR(AY35="",AX35=0),"",(AY35-AX35)/AX35)</f>
        <v/>
      </c>
      <c r="BB35" s="119" t="n">
        <f aca="false">IF('⚙ Config &amp; Assumptions'!B41&gt;=1,B35,0)+IF('⚙ Config &amp; Assumptions'!B41&gt;=2,F35,0)+IF('⚙ Config &amp; Assumptions'!B41&gt;=3,J35,0)+IF('⚙ Config &amp; Assumptions'!B41&gt;=4,N35,0)+IF('⚙ Config &amp; Assumptions'!B41&gt;=5,R35,0)+IF('⚙ Config &amp; Assumptions'!B41&gt;=6,V35,0)+IF('⚙ Config &amp; Assumptions'!B41&gt;=7,Z35,0)+IF('⚙ Config &amp; Assumptions'!B41&gt;=8,AD35,0)+IF('⚙ Config &amp; Assumptions'!B41&gt;=9,AH35,0)+IF('⚙ Config &amp; Assumptions'!B41&gt;=10,AL35,0)+IF('⚙ Config &amp; Assumptions'!B41&gt;=11,AP35,0)+IF('⚙ Config &amp; Assumptions'!B41&gt;=12,AT35,0)</f>
        <v>0</v>
      </c>
      <c r="BC35" s="119" t="n">
        <f aca="false">IF(AND('⚙ Config &amp; Assumptions'!B41&gt;=1,C35&lt;&gt;""),C35,0)+IF(AND('⚙ Config &amp; Assumptions'!B41&gt;=2,G35&lt;&gt;""),G35,0)+IF(AND('⚙ Config &amp; Assumptions'!B41&gt;=3,K35&lt;&gt;""),K35,0)+IF(AND('⚙ Config &amp; Assumptions'!B41&gt;=4,O35&lt;&gt;""),O35,0)+IF(AND('⚙ Config &amp; Assumptions'!B41&gt;=5,S35&lt;&gt;""),S35,0)+IF(AND('⚙ Config &amp; Assumptions'!B41&gt;=6,W35&lt;&gt;""),W35,0)+IF(AND('⚙ Config &amp; Assumptions'!B41&gt;=7,AA35&lt;&gt;""),AA35,0)+IF(AND('⚙ Config &amp; Assumptions'!B41&gt;=8,AE35&lt;&gt;""),AE35,0)+IF(AND('⚙ Config &amp; Assumptions'!B41&gt;=9,AI35&lt;&gt;""),AI35,0)+IF(AND('⚙ Config &amp; Assumptions'!B41&gt;=10,AM35&lt;&gt;""),AM35,0)+IF(AND('⚙ Config &amp; Assumptions'!B41&gt;=11,AQ35&lt;&gt;""),AQ35,0)+IF(AND('⚙ Config &amp; Assumptions'!B41&gt;=12,AU35&lt;&gt;""),AU35,0)</f>
        <v>0</v>
      </c>
      <c r="BD35" s="119" t="str">
        <f aca="false">IF(BC35=0,"",BC35-BB35)</f>
        <v/>
      </c>
      <c r="BE35" s="108" t="str">
        <f aca="false">IF(OR(BC35=0,BB35=0),"",(BC35-BB35)/BB35)</f>
        <v/>
      </c>
    </row>
    <row r="36" customFormat="false" ht="15" hidden="false" customHeight="true" outlineLevel="0" collapsed="false">
      <c r="A36" s="113" t="s">
        <v>462</v>
      </c>
      <c r="B36" s="120" t="n">
        <f aca="false">B32-B35</f>
        <v>1935</v>
      </c>
      <c r="C36" s="117"/>
      <c r="D36" s="91" t="str">
        <f aca="false">IF(C36="","",C36-B36)</f>
        <v/>
      </c>
      <c r="E36" s="45" t="str">
        <f aca="false">IF(OR(C36="",B36=0),"",(C36-B36)/B36)</f>
        <v/>
      </c>
      <c r="F36" s="120" t="n">
        <f aca="false">F32-F35</f>
        <v>2179</v>
      </c>
      <c r="G36" s="117"/>
      <c r="H36" s="91" t="str">
        <f aca="false">IF(G36="","",G36-F36)</f>
        <v/>
      </c>
      <c r="I36" s="45" t="str">
        <f aca="false">IF(OR(G36="",F36=0),"",(G36-F36)/F36)</f>
        <v/>
      </c>
      <c r="J36" s="120" t="n">
        <f aca="false">J32-J35</f>
        <v>1693</v>
      </c>
      <c r="K36" s="117"/>
      <c r="L36" s="91" t="str">
        <f aca="false">IF(K36="","",K36-J36)</f>
        <v/>
      </c>
      <c r="M36" s="45" t="str">
        <f aca="false">IF(OR(K36="",J36=0),"",(K36-J36)/J36)</f>
        <v/>
      </c>
      <c r="N36" s="120" t="n">
        <f aca="false">N32-N35</f>
        <v>2179</v>
      </c>
      <c r="O36" s="117"/>
      <c r="P36" s="91" t="str">
        <f aca="false">IF(O36="","",O36-N36)</f>
        <v/>
      </c>
      <c r="Q36" s="45" t="str">
        <f aca="false">IF(OR(O36="",N36=0),"",(O36-N36)/N36)</f>
        <v/>
      </c>
      <c r="R36" s="120" t="n">
        <f aca="false">R32-R35</f>
        <v>2911</v>
      </c>
      <c r="S36" s="117"/>
      <c r="T36" s="91" t="str">
        <f aca="false">IF(S36="","",S36-R36)</f>
        <v/>
      </c>
      <c r="U36" s="45" t="str">
        <f aca="false">IF(OR(S36="",R36=0),"",(S36-R36)/R36)</f>
        <v/>
      </c>
      <c r="V36" s="120" t="n">
        <f aca="false">V32-V35</f>
        <v>3154</v>
      </c>
      <c r="W36" s="117"/>
      <c r="X36" s="91" t="str">
        <f aca="false">IF(W36="","",W36-V36)</f>
        <v/>
      </c>
      <c r="Y36" s="45" t="str">
        <f aca="false">IF(OR(W36="",V36=0),"",(W36-V36)/V36)</f>
        <v/>
      </c>
      <c r="Z36" s="120" t="n">
        <f aca="false">Z32-Z35</f>
        <v>3397</v>
      </c>
      <c r="AA36" s="117"/>
      <c r="AB36" s="91" t="str">
        <f aca="false">IF(AA36="","",AA36-Z36)</f>
        <v/>
      </c>
      <c r="AC36" s="45" t="str">
        <f aca="false">IF(OR(AA36="",Z36=0),"",(AA36-Z36)/Z36)</f>
        <v/>
      </c>
      <c r="AD36" s="120" t="n">
        <f aca="false">AD32-AD35</f>
        <v>3154</v>
      </c>
      <c r="AE36" s="117"/>
      <c r="AF36" s="91" t="str">
        <f aca="false">IF(AE36="","",AE36-AD36)</f>
        <v/>
      </c>
      <c r="AG36" s="45" t="str">
        <f aca="false">IF(OR(AE36="",AD36=0),"",(AE36-AD36)/AD36)</f>
        <v/>
      </c>
      <c r="AH36" s="120" t="n">
        <f aca="false">AH32-AH35</f>
        <v>2911</v>
      </c>
      <c r="AI36" s="117"/>
      <c r="AJ36" s="91" t="str">
        <f aca="false">IF(AI36="","",AI36-AH36)</f>
        <v/>
      </c>
      <c r="AK36" s="45" t="str">
        <f aca="false">IF(OR(AI36="",AH36=0),"",(AI36-AH36)/AH36)</f>
        <v/>
      </c>
      <c r="AL36" s="120" t="n">
        <f aca="false">AL32-AL35</f>
        <v>2911</v>
      </c>
      <c r="AM36" s="117"/>
      <c r="AN36" s="91" t="str">
        <f aca="false">IF(AM36="","",AM36-AL36)</f>
        <v/>
      </c>
      <c r="AO36" s="45" t="str">
        <f aca="false">IF(OR(AM36="",AL36=0),"",(AM36-AL36)/AL36)</f>
        <v/>
      </c>
      <c r="AP36" s="120" t="n">
        <f aca="false">AP32-AP35</f>
        <v>2667</v>
      </c>
      <c r="AQ36" s="117"/>
      <c r="AR36" s="91" t="str">
        <f aca="false">IF(AQ36="","",AQ36-AP36)</f>
        <v/>
      </c>
      <c r="AS36" s="45" t="str">
        <f aca="false">IF(OR(AQ36="",AP36=0),"",(AQ36-AP36)/AP36)</f>
        <v/>
      </c>
      <c r="AT36" s="120" t="n">
        <f aca="false">AT32-AT35</f>
        <v>1935</v>
      </c>
      <c r="AU36" s="117"/>
      <c r="AV36" s="91" t="str">
        <f aca="false">IF(AU36="","",AU36-AT36)</f>
        <v/>
      </c>
      <c r="AW36" s="45" t="str">
        <f aca="false">IF(OR(AU36="",AT36=0),"",(AU36-AT36)/AT36)</f>
        <v/>
      </c>
      <c r="AX36" s="121" t="n">
        <f aca="false">CHOOSE('⚙ Config &amp; Assumptions'!B41,B36,F36,J36,N36,R36,V36,Z36,AD36,AH36,AL36,AP36,AT36)</f>
        <v>1935</v>
      </c>
      <c r="AY36" s="118" t="str">
        <f aca="false">IF(CHOOSE('⚙ Config &amp; Assumptions'!B41,C36,G36,K36,O36,S36,W36,AA36,AE36,AI36,AM36,AQ36,AU36)="","",CHOOSE('⚙ Config &amp; Assumptions'!B41,C36,G36,K36,O36,S36,W36,AA36,AE36,AI36,AM36,AQ36,AU36))</f>
        <v/>
      </c>
      <c r="AZ36" s="118" t="str">
        <f aca="false">IF(AY36="","",AY36-AX36)</f>
        <v/>
      </c>
      <c r="BA36" s="106" t="str">
        <f aca="false">IF(OR(AY36="",AX36=0),"",(AY36-AX36)/AX36)</f>
        <v/>
      </c>
      <c r="BB36" s="122" t="n">
        <f aca="false">IF('⚙ Config &amp; Assumptions'!B41&gt;=1,B36,0)+IF('⚙ Config &amp; Assumptions'!B41&gt;=2,F36,0)+IF('⚙ Config &amp; Assumptions'!B41&gt;=3,J36,0)+IF('⚙ Config &amp; Assumptions'!B41&gt;=4,N36,0)+IF('⚙ Config &amp; Assumptions'!B41&gt;=5,R36,0)+IF('⚙ Config &amp; Assumptions'!B41&gt;=6,V36,0)+IF('⚙ Config &amp; Assumptions'!B41&gt;=7,Z36,0)+IF('⚙ Config &amp; Assumptions'!B41&gt;=8,AD36,0)+IF('⚙ Config &amp; Assumptions'!B41&gt;=9,AH36,0)+IF('⚙ Config &amp; Assumptions'!B41&gt;=10,AL36,0)+IF('⚙ Config &amp; Assumptions'!B41&gt;=11,AP36,0)+IF('⚙ Config &amp; Assumptions'!B41&gt;=12,AT36,0)</f>
        <v>1935</v>
      </c>
      <c r="BC36" s="119" t="n">
        <f aca="false">IF(AND('⚙ Config &amp; Assumptions'!B41&gt;=1,C36&lt;&gt;""),C36,0)+IF(AND('⚙ Config &amp; Assumptions'!B41&gt;=2,G36&lt;&gt;""),G36,0)+IF(AND('⚙ Config &amp; Assumptions'!B41&gt;=3,K36&lt;&gt;""),K36,0)+IF(AND('⚙ Config &amp; Assumptions'!B41&gt;=4,O36&lt;&gt;""),O36,0)+IF(AND('⚙ Config &amp; Assumptions'!B41&gt;=5,S36&lt;&gt;""),S36,0)+IF(AND('⚙ Config &amp; Assumptions'!B41&gt;=6,W36&lt;&gt;""),W36,0)+IF(AND('⚙ Config &amp; Assumptions'!B41&gt;=7,AA36&lt;&gt;""),AA36,0)+IF(AND('⚙ Config &amp; Assumptions'!B41&gt;=8,AE36&lt;&gt;""),AE36,0)+IF(AND('⚙ Config &amp; Assumptions'!B41&gt;=9,AI36&lt;&gt;""),AI36,0)+IF(AND('⚙ Config &amp; Assumptions'!B41&gt;=10,AM36&lt;&gt;""),AM36,0)+IF(AND('⚙ Config &amp; Assumptions'!B41&gt;=11,AQ36&lt;&gt;""),AQ36,0)+IF(AND('⚙ Config &amp; Assumptions'!B41&gt;=12,AU36&lt;&gt;""),AU36,0)</f>
        <v>0</v>
      </c>
      <c r="BD36" s="119" t="str">
        <f aca="false">IF(BC36=0,"",BC36-BB36)</f>
        <v/>
      </c>
      <c r="BE36" s="108" t="str">
        <f aca="false">IF(OR(BC36=0,BB36=0),"",(BC36-BB36)/BB36)</f>
        <v/>
      </c>
    </row>
    <row r="37" customFormat="false" ht="15" hidden="false" customHeight="true" outlineLevel="0" collapsed="false">
      <c r="A37" s="13" t="s">
        <v>410</v>
      </c>
      <c r="B37" s="45" t="n">
        <f aca="false">IF(B14=0,0,B36/B14)</f>
        <v>0.171770972037284</v>
      </c>
      <c r="C37" s="123"/>
      <c r="D37" s="45" t="str">
        <f aca="false">IF(C37="","",C37-B37)</f>
        <v/>
      </c>
      <c r="E37" s="45" t="str">
        <f aca="false">IF(OR(C37="",B37=0),"",(C37-B37)/B37)</f>
        <v/>
      </c>
      <c r="F37" s="45" t="n">
        <f aca="false">IF(F14=0,0,F36/F14)</f>
        <v>0.18054519844229</v>
      </c>
      <c r="G37" s="123"/>
      <c r="H37" s="45" t="str">
        <f aca="false">IF(G37="","",G37-F37)</f>
        <v/>
      </c>
      <c r="I37" s="45" t="str">
        <f aca="false">IF(OR(G37="",F37=0),"",(G37-F37)/F37)</f>
        <v/>
      </c>
      <c r="J37" s="45" t="n">
        <f aca="false">IF(J14=0,0,J36/J14)</f>
        <v>0.161854684512428</v>
      </c>
      <c r="K37" s="123"/>
      <c r="L37" s="45" t="str">
        <f aca="false">IF(K37="","",K37-J37)</f>
        <v/>
      </c>
      <c r="M37" s="45" t="str">
        <f aca="false">IF(OR(K37="",J37=0),"",(K37-J37)/J37)</f>
        <v/>
      </c>
      <c r="N37" s="45" t="n">
        <f aca="false">IF(N14=0,0,N36/N14)</f>
        <v>0.18054519844229</v>
      </c>
      <c r="O37" s="123"/>
      <c r="P37" s="45" t="str">
        <f aca="false">IF(O37="","",O37-N37)</f>
        <v/>
      </c>
      <c r="Q37" s="45" t="str">
        <f aca="false">IF(OR(O37="",N37=0),"",(O37-N37)/N37)</f>
        <v/>
      </c>
      <c r="R37" s="45" t="n">
        <f aca="false">IF(R14=0,0,R36/R14)</f>
        <v>0.200994269143133</v>
      </c>
      <c r="S37" s="123"/>
      <c r="T37" s="45" t="str">
        <f aca="false">IF(S37="","",S37-R37)</f>
        <v/>
      </c>
      <c r="U37" s="45" t="str">
        <f aca="false">IF(OR(S37="",R37=0),"",(S37-R37)/R37)</f>
        <v/>
      </c>
      <c r="V37" s="45" t="n">
        <f aca="false">IF(V14=0,0,V36/V14)</f>
        <v>0.206305599162742</v>
      </c>
      <c r="W37" s="123"/>
      <c r="X37" s="45" t="str">
        <f aca="false">IF(W37="","",W37-V37)</f>
        <v/>
      </c>
      <c r="Y37" s="45" t="str">
        <f aca="false">IF(OR(W37="",V37=0),"",(W37-V37)/V37)</f>
        <v/>
      </c>
      <c r="Z37" s="45" t="n">
        <f aca="false">IF(Z14=0,0,Z36/Z14)</f>
        <v>0.211098682575193</v>
      </c>
      <c r="AA37" s="123"/>
      <c r="AB37" s="45" t="str">
        <f aca="false">IF(AA37="","",AA37-Z37)</f>
        <v/>
      </c>
      <c r="AC37" s="45" t="str">
        <f aca="false">IF(OR(AA37="",Z37=0),"",(AA37-Z37)/Z37)</f>
        <v/>
      </c>
      <c r="AD37" s="45" t="n">
        <f aca="false">IF(AD14=0,0,AD36/AD14)</f>
        <v>0.206305599162742</v>
      </c>
      <c r="AE37" s="123"/>
      <c r="AF37" s="45" t="str">
        <f aca="false">IF(AE37="","",AE37-AD37)</f>
        <v/>
      </c>
      <c r="AG37" s="45" t="str">
        <f aca="false">IF(OR(AE37="",AD37=0),"",(AE37-AD37)/AD37)</f>
        <v/>
      </c>
      <c r="AH37" s="45" t="n">
        <f aca="false">IF(AH14=0,0,AH36/AH14)</f>
        <v>0.200994269143133</v>
      </c>
      <c r="AI37" s="123"/>
      <c r="AJ37" s="45" t="str">
        <f aca="false">IF(AI37="","",AI37-AH37)</f>
        <v/>
      </c>
      <c r="AK37" s="45" t="str">
        <f aca="false">IF(OR(AI37="",AH37=0),"",(AI37-AH37)/AH37)</f>
        <v/>
      </c>
      <c r="AL37" s="45" t="n">
        <f aca="false">IF(AL14=0,0,AL36/AL14)</f>
        <v>0.200994269143133</v>
      </c>
      <c r="AM37" s="123"/>
      <c r="AN37" s="45" t="str">
        <f aca="false">IF(AM37="","",AM37-AL37)</f>
        <v/>
      </c>
      <c r="AO37" s="45" t="str">
        <f aca="false">IF(OR(AM37="",AL37=0),"",(AM37-AL37)/AL37)</f>
        <v/>
      </c>
      <c r="AP37" s="45" t="n">
        <f aca="false">IF(AP14=0,0,AP36/AP14)</f>
        <v>0.194984646878199</v>
      </c>
      <c r="AQ37" s="123"/>
      <c r="AR37" s="45" t="str">
        <f aca="false">IF(AQ37="","",AQ37-AP37)</f>
        <v/>
      </c>
      <c r="AS37" s="45" t="str">
        <f aca="false">IF(OR(AQ37="",AP37=0),"",(AQ37-AP37)/AP37)</f>
        <v/>
      </c>
      <c r="AT37" s="45" t="n">
        <f aca="false">IF(AT14=0,0,AT36/AT14)</f>
        <v>0.171770972037284</v>
      </c>
      <c r="AU37" s="123"/>
      <c r="AV37" s="45" t="str">
        <f aca="false">IF(AU37="","",AU37-AT37)</f>
        <v/>
      </c>
      <c r="AW37" s="45" t="str">
        <f aca="false">IF(OR(AU37="",AT37=0),"",(AU37-AT37)/AT37)</f>
        <v/>
      </c>
      <c r="AX37" s="106" t="n">
        <f aca="false">CHOOSE('⚙ Config &amp; Assumptions'!B41,B37,F37,J37,N37,R37,V37,Z37,AD37,AH37,AL37,AP37,AT37)</f>
        <v>0.171770972037284</v>
      </c>
      <c r="AY37" s="106" t="str">
        <f aca="false">IF(CHOOSE('⚙ Config &amp; Assumptions'!B41,C37,G37,K37,O37,S37,W37,AA37,AE37,AI37,AM37,AQ37,AU37)="","",CHOOSE('⚙ Config &amp; Assumptions'!B41,C37,G37,K37,O37,S37,W37,AA37,AE37,AI37,AM37,AQ37,AU37))</f>
        <v/>
      </c>
      <c r="AZ37" s="106" t="str">
        <f aca="false">IF(AY37="","",AY37-AX37)</f>
        <v/>
      </c>
      <c r="BA37" s="106" t="str">
        <f aca="false">IF(OR(AY37="",AX37=0),"",(AY37-AX37)/AX37)</f>
        <v/>
      </c>
      <c r="BB37" s="108" t="n">
        <f aca="false">IF('⚙ Config &amp; Assumptions'!B41&gt;=1,B37,0)+IF('⚙ Config &amp; Assumptions'!B41&gt;=2,F37,0)+IF('⚙ Config &amp; Assumptions'!B41&gt;=3,J37,0)+IF('⚙ Config &amp; Assumptions'!B41&gt;=4,N37,0)+IF('⚙ Config &amp; Assumptions'!B41&gt;=5,R37,0)+IF('⚙ Config &amp; Assumptions'!B41&gt;=6,V37,0)+IF('⚙ Config &amp; Assumptions'!B41&gt;=7,Z37,0)+IF('⚙ Config &amp; Assumptions'!B41&gt;=8,AD37,0)+IF('⚙ Config &amp; Assumptions'!B41&gt;=9,AH37,0)+IF('⚙ Config &amp; Assumptions'!B41&gt;=10,AL37,0)+IF('⚙ Config &amp; Assumptions'!B41&gt;=11,AP37,0)+IF('⚙ Config &amp; Assumptions'!B41&gt;=12,AT37,0)</f>
        <v>0.171770972037284</v>
      </c>
      <c r="BC37" s="108" t="n">
        <f aca="false">IF(AND('⚙ Config &amp; Assumptions'!B41&gt;=1,C37&lt;&gt;""),C37,0)+IF(AND('⚙ Config &amp; Assumptions'!B41&gt;=2,G37&lt;&gt;""),G37,0)+IF(AND('⚙ Config &amp; Assumptions'!B41&gt;=3,K37&lt;&gt;""),K37,0)+IF(AND('⚙ Config &amp; Assumptions'!B41&gt;=4,O37&lt;&gt;""),O37,0)+IF(AND('⚙ Config &amp; Assumptions'!B41&gt;=5,S37&lt;&gt;""),S37,0)+IF(AND('⚙ Config &amp; Assumptions'!B41&gt;=6,W37&lt;&gt;""),W37,0)+IF(AND('⚙ Config &amp; Assumptions'!B41&gt;=7,AA37&lt;&gt;""),AA37,0)+IF(AND('⚙ Config &amp; Assumptions'!B41&gt;=8,AE37&lt;&gt;""),AE37,0)+IF(AND('⚙ Config &amp; Assumptions'!B41&gt;=9,AI37&lt;&gt;""),AI37,0)+IF(AND('⚙ Config &amp; Assumptions'!B41&gt;=10,AM37&lt;&gt;""),AM37,0)+IF(AND('⚙ Config &amp; Assumptions'!B41&gt;=11,AQ37&lt;&gt;""),AQ37,0)+IF(AND('⚙ Config &amp; Assumptions'!B41&gt;=12,AU37&lt;&gt;""),AU37,0)</f>
        <v>0</v>
      </c>
      <c r="BD37" s="108" t="str">
        <f aca="false">IF(BC37=0,"",BC37-BB37)</f>
        <v/>
      </c>
      <c r="BE37" s="108" t="str">
        <f aca="false">IF(OR(BC37=0,BB37=0),"",(BC37-BB37)/BB37)</f>
        <v/>
      </c>
    </row>
    <row r="38" customFormat="false" ht="15" hidden="false" customHeight="true" outlineLevel="0" collapsed="false">
      <c r="A38" s="7" t="s">
        <v>463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</row>
    <row r="39" customFormat="false" ht="15" hidden="false" customHeight="true" outlineLevel="0" collapsed="false">
      <c r="A39" s="13" t="s">
        <v>394</v>
      </c>
      <c r="B39" s="94" t="n">
        <f aca="false">'⚙ Config &amp; Assumptions'!B21-'⚙ Config &amp; Assumptions'!B24-'⚙ Config &amp; Assumptions'!B25-'⚙ Config &amp; Assumptions'!B26-'⚙ Config &amp; Assumptions'!B21*'⚙ Config &amp; Assumptions'!B31-'⚙ Config &amp; Assumptions'!B25*'⚙ Config &amp; Assumptions'!B33</f>
        <v>47.2828</v>
      </c>
      <c r="C39" s="124"/>
      <c r="D39" s="94" t="str">
        <f aca="false">IF(C39="","",C39-B39)</f>
        <v/>
      </c>
      <c r="E39" s="45" t="str">
        <f aca="false">IF(OR(C39="",B39=0),"",(C39-B39)/B39)</f>
        <v/>
      </c>
      <c r="F39" s="94" t="n">
        <f aca="false">'⚙ Config &amp; Assumptions'!B21-'⚙ Config &amp; Assumptions'!B24-'⚙ Config &amp; Assumptions'!B25-'⚙ Config &amp; Assumptions'!B26-'⚙ Config &amp; Assumptions'!B21*'⚙ Config &amp; Assumptions'!B31-'⚙ Config &amp; Assumptions'!B25*'⚙ Config &amp; Assumptions'!B33</f>
        <v>47.2828</v>
      </c>
      <c r="G39" s="124"/>
      <c r="H39" s="94" t="str">
        <f aca="false">IF(G39="","",G39-F39)</f>
        <v/>
      </c>
      <c r="I39" s="45" t="str">
        <f aca="false">IF(OR(G39="",F39=0),"",(G39-F39)/F39)</f>
        <v/>
      </c>
      <c r="J39" s="94" t="n">
        <f aca="false">'⚙ Config &amp; Assumptions'!B21-'⚙ Config &amp; Assumptions'!B24-'⚙ Config &amp; Assumptions'!B25-'⚙ Config &amp; Assumptions'!B26-'⚙ Config &amp; Assumptions'!B21*'⚙ Config &amp; Assumptions'!B31-'⚙ Config &amp; Assumptions'!B25*'⚙ Config &amp; Assumptions'!B33</f>
        <v>47.2828</v>
      </c>
      <c r="K39" s="124"/>
      <c r="L39" s="94" t="str">
        <f aca="false">IF(K39="","",K39-J39)</f>
        <v/>
      </c>
      <c r="M39" s="45" t="str">
        <f aca="false">IF(OR(K39="",J39=0),"",(K39-J39)/J39)</f>
        <v/>
      </c>
      <c r="N39" s="94" t="n">
        <f aca="false">'⚙ Config &amp; Assumptions'!B21-'⚙ Config &amp; Assumptions'!B24-'⚙ Config &amp; Assumptions'!B25-'⚙ Config &amp; Assumptions'!B26-'⚙ Config &amp; Assumptions'!B21*'⚙ Config &amp; Assumptions'!B31-'⚙ Config &amp; Assumptions'!B25*'⚙ Config &amp; Assumptions'!B33</f>
        <v>47.2828</v>
      </c>
      <c r="O39" s="124"/>
      <c r="P39" s="94" t="str">
        <f aca="false">IF(O39="","",O39-N39)</f>
        <v/>
      </c>
      <c r="Q39" s="45" t="str">
        <f aca="false">IF(OR(O39="",N39=0),"",(O39-N39)/N39)</f>
        <v/>
      </c>
      <c r="R39" s="94" t="n">
        <f aca="false">'⚙ Config &amp; Assumptions'!B21-'⚙ Config &amp; Assumptions'!B24-'⚙ Config &amp; Assumptions'!B25-'⚙ Config &amp; Assumptions'!B26-'⚙ Config &amp; Assumptions'!B21*'⚙ Config &amp; Assumptions'!B31-'⚙ Config &amp; Assumptions'!B25*'⚙ Config &amp; Assumptions'!B33</f>
        <v>47.2828</v>
      </c>
      <c r="S39" s="124"/>
      <c r="T39" s="94" t="str">
        <f aca="false">IF(S39="","",S39-R39)</f>
        <v/>
      </c>
      <c r="U39" s="45" t="str">
        <f aca="false">IF(OR(S39="",R39=0),"",(S39-R39)/R39)</f>
        <v/>
      </c>
      <c r="V39" s="94" t="n">
        <f aca="false">'⚙ Config &amp; Assumptions'!B21-'⚙ Config &amp; Assumptions'!B24-'⚙ Config &amp; Assumptions'!B25-'⚙ Config &amp; Assumptions'!B26-'⚙ Config &amp; Assumptions'!B21*'⚙ Config &amp; Assumptions'!B31-'⚙ Config &amp; Assumptions'!B25*'⚙ Config &amp; Assumptions'!B33</f>
        <v>47.2828</v>
      </c>
      <c r="W39" s="124"/>
      <c r="X39" s="94" t="str">
        <f aca="false">IF(W39="","",W39-V39)</f>
        <v/>
      </c>
      <c r="Y39" s="45" t="str">
        <f aca="false">IF(OR(W39="",V39=0),"",(W39-V39)/V39)</f>
        <v/>
      </c>
      <c r="Z39" s="94" t="n">
        <f aca="false">'⚙ Config &amp; Assumptions'!B21-'⚙ Config &amp; Assumptions'!B24-'⚙ Config &amp; Assumptions'!B25-'⚙ Config &amp; Assumptions'!B26-'⚙ Config &amp; Assumptions'!B21*'⚙ Config &amp; Assumptions'!B31-'⚙ Config &amp; Assumptions'!B25*'⚙ Config &amp; Assumptions'!B33</f>
        <v>47.2828</v>
      </c>
      <c r="AA39" s="124"/>
      <c r="AB39" s="94" t="str">
        <f aca="false">IF(AA39="","",AA39-Z39)</f>
        <v/>
      </c>
      <c r="AC39" s="45" t="str">
        <f aca="false">IF(OR(AA39="",Z39=0),"",(AA39-Z39)/Z39)</f>
        <v/>
      </c>
      <c r="AD39" s="94" t="n">
        <f aca="false">'⚙ Config &amp; Assumptions'!B21-'⚙ Config &amp; Assumptions'!B24-'⚙ Config &amp; Assumptions'!B25-'⚙ Config &amp; Assumptions'!B26-'⚙ Config &amp; Assumptions'!B21*'⚙ Config &amp; Assumptions'!B31-'⚙ Config &amp; Assumptions'!B25*'⚙ Config &amp; Assumptions'!B33</f>
        <v>47.2828</v>
      </c>
      <c r="AE39" s="124"/>
      <c r="AF39" s="94" t="str">
        <f aca="false">IF(AE39="","",AE39-AD39)</f>
        <v/>
      </c>
      <c r="AG39" s="45" t="str">
        <f aca="false">IF(OR(AE39="",AD39=0),"",(AE39-AD39)/AD39)</f>
        <v/>
      </c>
      <c r="AH39" s="94" t="n">
        <f aca="false">'⚙ Config &amp; Assumptions'!B21-'⚙ Config &amp; Assumptions'!B24-'⚙ Config &amp; Assumptions'!B25-'⚙ Config &amp; Assumptions'!B26-'⚙ Config &amp; Assumptions'!B21*'⚙ Config &amp; Assumptions'!B31-'⚙ Config &amp; Assumptions'!B25*'⚙ Config &amp; Assumptions'!B33</f>
        <v>47.2828</v>
      </c>
      <c r="AI39" s="124"/>
      <c r="AJ39" s="94" t="str">
        <f aca="false">IF(AI39="","",AI39-AH39)</f>
        <v/>
      </c>
      <c r="AK39" s="45" t="str">
        <f aca="false">IF(OR(AI39="",AH39=0),"",(AI39-AH39)/AH39)</f>
        <v/>
      </c>
      <c r="AL39" s="94" t="n">
        <f aca="false">'⚙ Config &amp; Assumptions'!B21-'⚙ Config &amp; Assumptions'!B24-'⚙ Config &amp; Assumptions'!B25-'⚙ Config &amp; Assumptions'!B26-'⚙ Config &amp; Assumptions'!B21*'⚙ Config &amp; Assumptions'!B31-'⚙ Config &amp; Assumptions'!B25*'⚙ Config &amp; Assumptions'!B33</f>
        <v>47.2828</v>
      </c>
      <c r="AM39" s="124"/>
      <c r="AN39" s="94" t="str">
        <f aca="false">IF(AM39="","",AM39-AL39)</f>
        <v/>
      </c>
      <c r="AO39" s="45" t="str">
        <f aca="false">IF(OR(AM39="",AL39=0),"",(AM39-AL39)/AL39)</f>
        <v/>
      </c>
      <c r="AP39" s="94" t="n">
        <f aca="false">'⚙ Config &amp; Assumptions'!B21-'⚙ Config &amp; Assumptions'!B24-'⚙ Config &amp; Assumptions'!B25-'⚙ Config &amp; Assumptions'!B26-'⚙ Config &amp; Assumptions'!B21*'⚙ Config &amp; Assumptions'!B31-'⚙ Config &amp; Assumptions'!B25*'⚙ Config &amp; Assumptions'!B33</f>
        <v>47.2828</v>
      </c>
      <c r="AQ39" s="124"/>
      <c r="AR39" s="94" t="str">
        <f aca="false">IF(AQ39="","",AQ39-AP39)</f>
        <v/>
      </c>
      <c r="AS39" s="45" t="str">
        <f aca="false">IF(OR(AQ39="",AP39=0),"",(AQ39-AP39)/AP39)</f>
        <v/>
      </c>
      <c r="AT39" s="94" t="n">
        <f aca="false">'⚙ Config &amp; Assumptions'!B21-'⚙ Config &amp; Assumptions'!B24-'⚙ Config &amp; Assumptions'!B25-'⚙ Config &amp; Assumptions'!B26-'⚙ Config &amp; Assumptions'!B21*'⚙ Config &amp; Assumptions'!B31-'⚙ Config &amp; Assumptions'!B25*'⚙ Config &amp; Assumptions'!B33</f>
        <v>47.2828</v>
      </c>
      <c r="AU39" s="124"/>
      <c r="AV39" s="94" t="str">
        <f aca="false">IF(AU39="","",AU39-AT39)</f>
        <v/>
      </c>
      <c r="AW39" s="45" t="str">
        <f aca="false">IF(OR(AU39="",AT39=0),"",(AU39-AT39)/AT39)</f>
        <v/>
      </c>
      <c r="AX39" s="125" t="n">
        <f aca="false">CHOOSE('⚙ Config &amp; Assumptions'!B41,B39,F39,J39,N39,R39,V39,Z39,AD39,AH39,AL39,AP39,AT39)</f>
        <v>47.2828</v>
      </c>
      <c r="AY39" s="125" t="str">
        <f aca="false">IF(CHOOSE('⚙ Config &amp; Assumptions'!B41,C39,G39,K39,O39,S39,W39,AA39,AE39,AI39,AM39,AQ39,AU39)="","",CHOOSE('⚙ Config &amp; Assumptions'!B41,C39,G39,K39,O39,S39,W39,AA39,AE39,AI39,AM39,AQ39,AU39))</f>
        <v/>
      </c>
      <c r="AZ39" s="125" t="str">
        <f aca="false">IF(AY39="","",AY39-AX39)</f>
        <v/>
      </c>
      <c r="BA39" s="106" t="str">
        <f aca="false">IF(OR(AY39="",AX39=0),"",(AY39-AX39)/AX39)</f>
        <v/>
      </c>
      <c r="BB39" s="126" t="n">
        <f aca="false">IF('⚙ Config &amp; Assumptions'!B41&gt;=1,B39,0)+IF('⚙ Config &amp; Assumptions'!B41&gt;=2,F39,0)+IF('⚙ Config &amp; Assumptions'!B41&gt;=3,J39,0)+IF('⚙ Config &amp; Assumptions'!B41&gt;=4,N39,0)+IF('⚙ Config &amp; Assumptions'!B41&gt;=5,R39,0)+IF('⚙ Config &amp; Assumptions'!B41&gt;=6,V39,0)+IF('⚙ Config &amp; Assumptions'!B41&gt;=7,Z39,0)+IF('⚙ Config &amp; Assumptions'!B41&gt;=8,AD39,0)+IF('⚙ Config &amp; Assumptions'!B41&gt;=9,AH39,0)+IF('⚙ Config &amp; Assumptions'!B41&gt;=10,AL39,0)+IF('⚙ Config &amp; Assumptions'!B41&gt;=11,AP39,0)+IF('⚙ Config &amp; Assumptions'!B41&gt;=12,AT39,0)</f>
        <v>47.2828</v>
      </c>
      <c r="BC39" s="126" t="n">
        <f aca="false">IF(AND('⚙ Config &amp; Assumptions'!B41&gt;=1,C39&lt;&gt;""),C39,0)+IF(AND('⚙ Config &amp; Assumptions'!B41&gt;=2,G39&lt;&gt;""),G39,0)+IF(AND('⚙ Config &amp; Assumptions'!B41&gt;=3,K39&lt;&gt;""),K39,0)+IF(AND('⚙ Config &amp; Assumptions'!B41&gt;=4,O39&lt;&gt;""),O39,0)+IF(AND('⚙ Config &amp; Assumptions'!B41&gt;=5,S39&lt;&gt;""),S39,0)+IF(AND('⚙ Config &amp; Assumptions'!B41&gt;=6,W39&lt;&gt;""),W39,0)+IF(AND('⚙ Config &amp; Assumptions'!B41&gt;=7,AA39&lt;&gt;""),AA39,0)+IF(AND('⚙ Config &amp; Assumptions'!B41&gt;=8,AE39&lt;&gt;""),AE39,0)+IF(AND('⚙ Config &amp; Assumptions'!B41&gt;=9,AI39&lt;&gt;""),AI39,0)+IF(AND('⚙ Config &amp; Assumptions'!B41&gt;=10,AM39&lt;&gt;""),AM39,0)+IF(AND('⚙ Config &amp; Assumptions'!B41&gt;=11,AQ39&lt;&gt;""),AQ39,0)+IF(AND('⚙ Config &amp; Assumptions'!B41&gt;=12,AU39&lt;&gt;""),AU39,0)</f>
        <v>0</v>
      </c>
      <c r="BD39" s="126" t="str">
        <f aca="false">IF(BC39=0,"",BC39-BB39)</f>
        <v/>
      </c>
      <c r="BE39" s="108" t="str">
        <f aca="false">IF(OR(BC39=0,BB39=0),"",(BC39-BB39)/BB39)</f>
        <v/>
      </c>
    </row>
    <row r="40" customFormat="false" ht="15" hidden="false" customHeight="true" outlineLevel="0" collapsed="false">
      <c r="A40" s="13" t="s">
        <v>395</v>
      </c>
      <c r="B40" s="45" t="n">
        <f aca="false">IF('⚙ Config &amp; Assumptions'!B21=0,0,B39/'⚙ Config &amp; Assumptions'!B21)</f>
        <v>0.303795939347211</v>
      </c>
      <c r="C40" s="123"/>
      <c r="D40" s="45" t="str">
        <f aca="false">IF(C40="","",C40-B40)</f>
        <v/>
      </c>
      <c r="E40" s="45" t="str">
        <f aca="false">IF(OR(C40="",B40=0),"",(C40-B40)/B40)</f>
        <v/>
      </c>
      <c r="F40" s="45" t="n">
        <f aca="false">IF('⚙ Config &amp; Assumptions'!B21=0,0,F39/'⚙ Config &amp; Assumptions'!B21)</f>
        <v>0.303795939347211</v>
      </c>
      <c r="G40" s="123"/>
      <c r="H40" s="45" t="str">
        <f aca="false">IF(G40="","",G40-F40)</f>
        <v/>
      </c>
      <c r="I40" s="45" t="str">
        <f aca="false">IF(OR(G40="",F40=0),"",(G40-F40)/F40)</f>
        <v/>
      </c>
      <c r="J40" s="45" t="n">
        <f aca="false">IF('⚙ Config &amp; Assumptions'!B21=0,0,J39/'⚙ Config &amp; Assumptions'!B21)</f>
        <v>0.303795939347211</v>
      </c>
      <c r="K40" s="123"/>
      <c r="L40" s="45" t="str">
        <f aca="false">IF(K40="","",K40-J40)</f>
        <v/>
      </c>
      <c r="M40" s="45" t="str">
        <f aca="false">IF(OR(K40="",J40=0),"",(K40-J40)/J40)</f>
        <v/>
      </c>
      <c r="N40" s="45" t="n">
        <f aca="false">IF('⚙ Config &amp; Assumptions'!B21=0,0,N39/'⚙ Config &amp; Assumptions'!B21)</f>
        <v>0.303795939347211</v>
      </c>
      <c r="O40" s="123"/>
      <c r="P40" s="45" t="str">
        <f aca="false">IF(O40="","",O40-N40)</f>
        <v/>
      </c>
      <c r="Q40" s="45" t="str">
        <f aca="false">IF(OR(O40="",N40=0),"",(O40-N40)/N40)</f>
        <v/>
      </c>
      <c r="R40" s="45" t="n">
        <f aca="false">IF('⚙ Config &amp; Assumptions'!B21=0,0,R39/'⚙ Config &amp; Assumptions'!B21)</f>
        <v>0.303795939347211</v>
      </c>
      <c r="S40" s="123"/>
      <c r="T40" s="45" t="str">
        <f aca="false">IF(S40="","",S40-R40)</f>
        <v/>
      </c>
      <c r="U40" s="45" t="str">
        <f aca="false">IF(OR(S40="",R40=0),"",(S40-R40)/R40)</f>
        <v/>
      </c>
      <c r="V40" s="45" t="n">
        <f aca="false">IF('⚙ Config &amp; Assumptions'!B21=0,0,V39/'⚙ Config &amp; Assumptions'!B21)</f>
        <v>0.303795939347211</v>
      </c>
      <c r="W40" s="123"/>
      <c r="X40" s="45" t="str">
        <f aca="false">IF(W40="","",W40-V40)</f>
        <v/>
      </c>
      <c r="Y40" s="45" t="str">
        <f aca="false">IF(OR(W40="",V40=0),"",(W40-V40)/V40)</f>
        <v/>
      </c>
      <c r="Z40" s="45" t="n">
        <f aca="false">IF('⚙ Config &amp; Assumptions'!B21=0,0,Z39/'⚙ Config &amp; Assumptions'!B21)</f>
        <v>0.303795939347211</v>
      </c>
      <c r="AA40" s="123"/>
      <c r="AB40" s="45" t="str">
        <f aca="false">IF(AA40="","",AA40-Z40)</f>
        <v/>
      </c>
      <c r="AC40" s="45" t="str">
        <f aca="false">IF(OR(AA40="",Z40=0),"",(AA40-Z40)/Z40)</f>
        <v/>
      </c>
      <c r="AD40" s="45" t="n">
        <f aca="false">IF('⚙ Config &amp; Assumptions'!B21=0,0,AD39/'⚙ Config &amp; Assumptions'!B21)</f>
        <v>0.303795939347211</v>
      </c>
      <c r="AE40" s="123"/>
      <c r="AF40" s="45" t="str">
        <f aca="false">IF(AE40="","",AE40-AD40)</f>
        <v/>
      </c>
      <c r="AG40" s="45" t="str">
        <f aca="false">IF(OR(AE40="",AD40=0),"",(AE40-AD40)/AD40)</f>
        <v/>
      </c>
      <c r="AH40" s="45" t="n">
        <f aca="false">IF('⚙ Config &amp; Assumptions'!B21=0,0,AH39/'⚙ Config &amp; Assumptions'!B21)</f>
        <v>0.303795939347211</v>
      </c>
      <c r="AI40" s="123"/>
      <c r="AJ40" s="45" t="str">
        <f aca="false">IF(AI40="","",AI40-AH40)</f>
        <v/>
      </c>
      <c r="AK40" s="45" t="str">
        <f aca="false">IF(OR(AI40="",AH40=0),"",(AI40-AH40)/AH40)</f>
        <v/>
      </c>
      <c r="AL40" s="45" t="n">
        <f aca="false">IF('⚙ Config &amp; Assumptions'!B21=0,0,AL39/'⚙ Config &amp; Assumptions'!B21)</f>
        <v>0.303795939347211</v>
      </c>
      <c r="AM40" s="123"/>
      <c r="AN40" s="45" t="str">
        <f aca="false">IF(AM40="","",AM40-AL40)</f>
        <v/>
      </c>
      <c r="AO40" s="45" t="str">
        <f aca="false">IF(OR(AM40="",AL40=0),"",(AM40-AL40)/AL40)</f>
        <v/>
      </c>
      <c r="AP40" s="45" t="n">
        <f aca="false">IF('⚙ Config &amp; Assumptions'!B21=0,0,AP39/'⚙ Config &amp; Assumptions'!B21)</f>
        <v>0.303795939347211</v>
      </c>
      <c r="AQ40" s="123"/>
      <c r="AR40" s="45" t="str">
        <f aca="false">IF(AQ40="","",AQ40-AP40)</f>
        <v/>
      </c>
      <c r="AS40" s="45" t="str">
        <f aca="false">IF(OR(AQ40="",AP40=0),"",(AQ40-AP40)/AP40)</f>
        <v/>
      </c>
      <c r="AT40" s="45" t="n">
        <f aca="false">IF('⚙ Config &amp; Assumptions'!B21=0,0,AT39/'⚙ Config &amp; Assumptions'!B21)</f>
        <v>0.303795939347211</v>
      </c>
      <c r="AU40" s="123"/>
      <c r="AV40" s="45" t="str">
        <f aca="false">IF(AU40="","",AU40-AT40)</f>
        <v/>
      </c>
      <c r="AW40" s="45" t="str">
        <f aca="false">IF(OR(AU40="",AT40=0),"",(AU40-AT40)/AT40)</f>
        <v/>
      </c>
      <c r="AX40" s="106" t="n">
        <f aca="false">CHOOSE('⚙ Config &amp; Assumptions'!B41,B40,F40,J40,N40,R40,V40,Z40,AD40,AH40,AL40,AP40,AT40)</f>
        <v>0.303795939347211</v>
      </c>
      <c r="AY40" s="106" t="str">
        <f aca="false">IF(CHOOSE('⚙ Config &amp; Assumptions'!B41,C40,G40,K40,O40,S40,W40,AA40,AE40,AI40,AM40,AQ40,AU40)="","",CHOOSE('⚙ Config &amp; Assumptions'!B41,C40,G40,K40,O40,S40,W40,AA40,AE40,AI40,AM40,AQ40,AU40))</f>
        <v/>
      </c>
      <c r="AZ40" s="106" t="str">
        <f aca="false">IF(AY40="","",AY40-AX40)</f>
        <v/>
      </c>
      <c r="BA40" s="106" t="str">
        <f aca="false">IF(OR(AY40="",AX40=0),"",(AY40-AX40)/AX40)</f>
        <v/>
      </c>
      <c r="BB40" s="108" t="n">
        <f aca="false">IF('⚙ Config &amp; Assumptions'!B41&gt;=1,B40,0)+IF('⚙ Config &amp; Assumptions'!B41&gt;=2,F40,0)+IF('⚙ Config &amp; Assumptions'!B41&gt;=3,J40,0)+IF('⚙ Config &amp; Assumptions'!B41&gt;=4,N40,0)+IF('⚙ Config &amp; Assumptions'!B41&gt;=5,R40,0)+IF('⚙ Config &amp; Assumptions'!B41&gt;=6,V40,0)+IF('⚙ Config &amp; Assumptions'!B41&gt;=7,Z40,0)+IF('⚙ Config &amp; Assumptions'!B41&gt;=8,AD40,0)+IF('⚙ Config &amp; Assumptions'!B41&gt;=9,AH40,0)+IF('⚙ Config &amp; Assumptions'!B41&gt;=10,AL40,0)+IF('⚙ Config &amp; Assumptions'!B41&gt;=11,AP40,0)+IF('⚙ Config &amp; Assumptions'!B41&gt;=12,AT40,0)</f>
        <v>0.303795939347211</v>
      </c>
      <c r="BC40" s="108" t="n">
        <f aca="false">IF(AND('⚙ Config &amp; Assumptions'!B41&gt;=1,C40&lt;&gt;""),C40,0)+IF(AND('⚙ Config &amp; Assumptions'!B41&gt;=2,G40&lt;&gt;""),G40,0)+IF(AND('⚙ Config &amp; Assumptions'!B41&gt;=3,K40&lt;&gt;""),K40,0)+IF(AND('⚙ Config &amp; Assumptions'!B41&gt;=4,O40&lt;&gt;""),O40,0)+IF(AND('⚙ Config &amp; Assumptions'!B41&gt;=5,S40&lt;&gt;""),S40,0)+IF(AND('⚙ Config &amp; Assumptions'!B41&gt;=6,W40&lt;&gt;""),W40,0)+IF(AND('⚙ Config &amp; Assumptions'!B41&gt;=7,AA40&lt;&gt;""),AA40,0)+IF(AND('⚙ Config &amp; Assumptions'!B41&gt;=8,AE40&lt;&gt;""),AE40,0)+IF(AND('⚙ Config &amp; Assumptions'!B41&gt;=9,AI40&lt;&gt;""),AI40,0)+IF(AND('⚙ Config &amp; Assumptions'!B41&gt;=10,AM40&lt;&gt;""),AM40,0)+IF(AND('⚙ Config &amp; Assumptions'!B41&gt;=11,AQ40&lt;&gt;""),AQ40,0)+IF(AND('⚙ Config &amp; Assumptions'!B41&gt;=12,AU40&lt;&gt;""),AU40,0)</f>
        <v>0</v>
      </c>
      <c r="BD40" s="108" t="str">
        <f aca="false">IF(BC40=0,"",BC40-BB40)</f>
        <v/>
      </c>
      <c r="BE40" s="108" t="str">
        <f aca="false">IF(OR(BC40=0,BB40=0),"",(BC40-BB40)/BB40)</f>
        <v/>
      </c>
    </row>
    <row r="41" customFormat="false" ht="15" hidden="false" customHeight="true" outlineLevel="0" collapsed="false">
      <c r="A41" s="7" t="s">
        <v>464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</row>
    <row r="42" customFormat="false" ht="15" hidden="false" customHeight="true" outlineLevel="0" collapsed="false">
      <c r="A42" s="13" t="s">
        <v>465</v>
      </c>
      <c r="B42" s="91" t="n">
        <f aca="false">ROUND('⚙ Config &amp; Assumptions'!B5*'⚙ Config &amp; Assumptions'!B7*(1-'⚙ Config &amp; Assumptions'!B22)*('⚙ Config &amp; Assumptions'!B21-'⚙ Config &amp; Assumptions'!B25-'⚙ Config &amp; Assumptions'!B25*'⚙ Config &amp; Assumptions'!B33-'⚙ Config &amp; Assumptions'!B21*'⚙ Config &amp; Assumptions'!B31-'⚙ Config &amp; Assumptions'!B21*'⚙ Config &amp; Assumptions'!B32),0)</f>
        <v>10367</v>
      </c>
      <c r="C42" s="117"/>
      <c r="D42" s="91" t="str">
        <f aca="false">IF(C42="","",C42-B42)</f>
        <v/>
      </c>
      <c r="E42" s="45" t="str">
        <f aca="false">IF(OR(C42="",B42=0),"",(C42-B42)/B42)</f>
        <v/>
      </c>
      <c r="F42" s="91" t="n">
        <f aca="false">ROUND('⚙ Config &amp; Assumptions'!B5*'⚙ Config &amp; Assumptions'!B8*(1-'⚙ Config &amp; Assumptions'!B22)*('⚙ Config &amp; Assumptions'!B21-'⚙ Config &amp; Assumptions'!B25-'⚙ Config &amp; Assumptions'!B25*'⚙ Config &amp; Assumptions'!B33-'⚙ Config &amp; Assumptions'!B21*'⚙ Config &amp; Assumptions'!B31-'⚙ Config &amp; Assumptions'!B21*'⚙ Config &amp; Assumptions'!B32),0)</f>
        <v>11107</v>
      </c>
      <c r="G42" s="117"/>
      <c r="H42" s="91" t="str">
        <f aca="false">IF(G42="","",G42-F42)</f>
        <v/>
      </c>
      <c r="I42" s="45" t="str">
        <f aca="false">IF(OR(G42="",F42=0),"",(G42-F42)/F42)</f>
        <v/>
      </c>
      <c r="J42" s="91" t="n">
        <f aca="false">ROUND('⚙ Config &amp; Assumptions'!B5*'⚙ Config &amp; Assumptions'!B9*(1-'⚙ Config &amp; Assumptions'!B22)*('⚙ Config &amp; Assumptions'!B21-'⚙ Config &amp; Assumptions'!B25-'⚙ Config &amp; Assumptions'!B25*'⚙ Config &amp; Assumptions'!B33-'⚙ Config &amp; Assumptions'!B21*'⚙ Config &amp; Assumptions'!B31-'⚙ Config &amp; Assumptions'!B21*'⚙ Config &amp; Assumptions'!B32),0)</f>
        <v>9626</v>
      </c>
      <c r="K42" s="117"/>
      <c r="L42" s="91" t="str">
        <f aca="false">IF(K42="","",K42-J42)</f>
        <v/>
      </c>
      <c r="M42" s="45" t="str">
        <f aca="false">IF(OR(K42="",J42=0),"",(K42-J42)/J42)</f>
        <v/>
      </c>
      <c r="N42" s="91" t="n">
        <f aca="false">ROUND('⚙ Config &amp; Assumptions'!B5*'⚙ Config &amp; Assumptions'!B10*(1-'⚙ Config &amp; Assumptions'!B22)*('⚙ Config &amp; Assumptions'!B21-'⚙ Config &amp; Assumptions'!B25-'⚙ Config &amp; Assumptions'!B25*'⚙ Config &amp; Assumptions'!B33-'⚙ Config &amp; Assumptions'!B21*'⚙ Config &amp; Assumptions'!B31-'⚙ Config &amp; Assumptions'!B21*'⚙ Config &amp; Assumptions'!B32),0)</f>
        <v>11107</v>
      </c>
      <c r="O42" s="117"/>
      <c r="P42" s="91" t="str">
        <f aca="false">IF(O42="","",O42-N42)</f>
        <v/>
      </c>
      <c r="Q42" s="45" t="str">
        <f aca="false">IF(OR(O42="",N42=0),"",(O42-N42)/N42)</f>
        <v/>
      </c>
      <c r="R42" s="91" t="n">
        <f aca="false">ROUND('⚙ Config &amp; Assumptions'!B5*'⚙ Config &amp; Assumptions'!B11*(1-'⚙ Config &amp; Assumptions'!B22)*('⚙ Config &amp; Assumptions'!B21-'⚙ Config &amp; Assumptions'!B25-'⚙ Config &amp; Assumptions'!B25*'⚙ Config &amp; Assumptions'!B33-'⚙ Config &amp; Assumptions'!B21*'⚙ Config &amp; Assumptions'!B31-'⚙ Config &amp; Assumptions'!B21*'⚙ Config &amp; Assumptions'!B32),0)</f>
        <v>13329</v>
      </c>
      <c r="S42" s="117"/>
      <c r="T42" s="91" t="str">
        <f aca="false">IF(S42="","",S42-R42)</f>
        <v/>
      </c>
      <c r="U42" s="45" t="str">
        <f aca="false">IF(OR(S42="",R42=0),"",(S42-R42)/R42)</f>
        <v/>
      </c>
      <c r="V42" s="91" t="n">
        <f aca="false">ROUND('⚙ Config &amp; Assumptions'!B5*'⚙ Config &amp; Assumptions'!B12*(1-'⚙ Config &amp; Assumptions'!B22)*('⚙ Config &amp; Assumptions'!B21-'⚙ Config &amp; Assumptions'!B25-'⚙ Config &amp; Assumptions'!B25*'⚙ Config &amp; Assumptions'!B33-'⚙ Config &amp; Assumptions'!B21*'⚙ Config &amp; Assumptions'!B31-'⚙ Config &amp; Assumptions'!B21*'⚙ Config &amp; Assumptions'!B32),0)</f>
        <v>14069</v>
      </c>
      <c r="W42" s="117"/>
      <c r="X42" s="91" t="str">
        <f aca="false">IF(W42="","",W42-V42)</f>
        <v/>
      </c>
      <c r="Y42" s="45" t="str">
        <f aca="false">IF(OR(W42="",V42=0),"",(W42-V42)/V42)</f>
        <v/>
      </c>
      <c r="Z42" s="91" t="n">
        <f aca="false">ROUND('⚙ Config &amp; Assumptions'!B5*'⚙ Config &amp; Assumptions'!B13*(1-'⚙ Config &amp; Assumptions'!B22)*('⚙ Config &amp; Assumptions'!B21-'⚙ Config &amp; Assumptions'!B25-'⚙ Config &amp; Assumptions'!B25*'⚙ Config &amp; Assumptions'!B33-'⚙ Config &amp; Assumptions'!B21*'⚙ Config &amp; Assumptions'!B31-'⚙ Config &amp; Assumptions'!B21*'⚙ Config &amp; Assumptions'!B32),0)</f>
        <v>14810</v>
      </c>
      <c r="AA42" s="117"/>
      <c r="AB42" s="91" t="str">
        <f aca="false">IF(AA42="","",AA42-Z42)</f>
        <v/>
      </c>
      <c r="AC42" s="45" t="str">
        <f aca="false">IF(OR(AA42="",Z42=0),"",(AA42-Z42)/Z42)</f>
        <v/>
      </c>
      <c r="AD42" s="91" t="n">
        <f aca="false">ROUND('⚙ Config &amp; Assumptions'!B5*'⚙ Config &amp; Assumptions'!B14*(1-'⚙ Config &amp; Assumptions'!B22)*('⚙ Config &amp; Assumptions'!B21-'⚙ Config &amp; Assumptions'!B25-'⚙ Config &amp; Assumptions'!B25*'⚙ Config &amp; Assumptions'!B33-'⚙ Config &amp; Assumptions'!B21*'⚙ Config &amp; Assumptions'!B31-'⚙ Config &amp; Assumptions'!B21*'⚙ Config &amp; Assumptions'!B32),0)</f>
        <v>14069</v>
      </c>
      <c r="AE42" s="117"/>
      <c r="AF42" s="91" t="str">
        <f aca="false">IF(AE42="","",AE42-AD42)</f>
        <v/>
      </c>
      <c r="AG42" s="45" t="str">
        <f aca="false">IF(OR(AE42="",AD42=0),"",(AE42-AD42)/AD42)</f>
        <v/>
      </c>
      <c r="AH42" s="91" t="n">
        <f aca="false">ROUND('⚙ Config &amp; Assumptions'!B5*'⚙ Config &amp; Assumptions'!B15*(1-'⚙ Config &amp; Assumptions'!B22)*('⚙ Config &amp; Assumptions'!B21-'⚙ Config &amp; Assumptions'!B25-'⚙ Config &amp; Assumptions'!B25*'⚙ Config &amp; Assumptions'!B33-'⚙ Config &amp; Assumptions'!B21*'⚙ Config &amp; Assumptions'!B31-'⚙ Config &amp; Assumptions'!B21*'⚙ Config &amp; Assumptions'!B32),0)</f>
        <v>13329</v>
      </c>
      <c r="AI42" s="117"/>
      <c r="AJ42" s="91" t="str">
        <f aca="false">IF(AI42="","",AI42-AH42)</f>
        <v/>
      </c>
      <c r="AK42" s="45" t="str">
        <f aca="false">IF(OR(AI42="",AH42=0),"",(AI42-AH42)/AH42)</f>
        <v/>
      </c>
      <c r="AL42" s="91" t="n">
        <f aca="false">ROUND('⚙ Config &amp; Assumptions'!B5*'⚙ Config &amp; Assumptions'!B16*(1-'⚙ Config &amp; Assumptions'!B22)*('⚙ Config &amp; Assumptions'!B21-'⚙ Config &amp; Assumptions'!B25-'⚙ Config &amp; Assumptions'!B25*'⚙ Config &amp; Assumptions'!B33-'⚙ Config &amp; Assumptions'!B21*'⚙ Config &amp; Assumptions'!B31-'⚙ Config &amp; Assumptions'!B21*'⚙ Config &amp; Assumptions'!B32),0)</f>
        <v>13329</v>
      </c>
      <c r="AM42" s="117"/>
      <c r="AN42" s="91" t="str">
        <f aca="false">IF(AM42="","",AM42-AL42)</f>
        <v/>
      </c>
      <c r="AO42" s="45" t="str">
        <f aca="false">IF(OR(AM42="",AL42=0),"",(AM42-AL42)/AL42)</f>
        <v/>
      </c>
      <c r="AP42" s="91" t="n">
        <f aca="false">ROUND('⚙ Config &amp; Assumptions'!B5*'⚙ Config &amp; Assumptions'!B17*(1-'⚙ Config &amp; Assumptions'!B22)*('⚙ Config &amp; Assumptions'!B21-'⚙ Config &amp; Assumptions'!B25-'⚙ Config &amp; Assumptions'!B25*'⚙ Config &amp; Assumptions'!B33-'⚙ Config &amp; Assumptions'!B21*'⚙ Config &amp; Assumptions'!B31-'⚙ Config &amp; Assumptions'!B21*'⚙ Config &amp; Assumptions'!B32),0)</f>
        <v>12588</v>
      </c>
      <c r="AQ42" s="117"/>
      <c r="AR42" s="91" t="str">
        <f aca="false">IF(AQ42="","",AQ42-AP42)</f>
        <v/>
      </c>
      <c r="AS42" s="45" t="str">
        <f aca="false">IF(OR(AQ42="",AP42=0),"",(AQ42-AP42)/AP42)</f>
        <v/>
      </c>
      <c r="AT42" s="91" t="n">
        <f aca="false">ROUND('⚙ Config &amp; Assumptions'!B5*'⚙ Config &amp; Assumptions'!B18*(1-'⚙ Config &amp; Assumptions'!B22)*('⚙ Config &amp; Assumptions'!B21-'⚙ Config &amp; Assumptions'!B25-'⚙ Config &amp; Assumptions'!B25*'⚙ Config &amp; Assumptions'!B33-'⚙ Config &amp; Assumptions'!B21*'⚙ Config &amp; Assumptions'!B31-'⚙ Config &amp; Assumptions'!B21*'⚙ Config &amp; Assumptions'!B32),0)</f>
        <v>10367</v>
      </c>
      <c r="AU42" s="117"/>
      <c r="AV42" s="91" t="str">
        <f aca="false">IF(AU42="","",AU42-AT42)</f>
        <v/>
      </c>
      <c r="AW42" s="45" t="str">
        <f aca="false">IF(OR(AU42="",AT42=0),"",(AU42-AT42)/AT42)</f>
        <v/>
      </c>
      <c r="AX42" s="118" t="n">
        <f aca="false">CHOOSE('⚙ Config &amp; Assumptions'!B41,B42,F42,J42,N42,R42,V42,Z42,AD42,AH42,AL42,AP42,AT42)</f>
        <v>10367</v>
      </c>
      <c r="AY42" s="118" t="str">
        <f aca="false">IF(CHOOSE('⚙ Config &amp; Assumptions'!B41,C42,G42,K42,O42,S42,W42,AA42,AE42,AI42,AM42,AQ42,AU42)="","",CHOOSE('⚙ Config &amp; Assumptions'!B41,C42,G42,K42,O42,S42,W42,AA42,AE42,AI42,AM42,AQ42,AU42))</f>
        <v/>
      </c>
      <c r="AZ42" s="118" t="str">
        <f aca="false">IF(AY42="","",AY42-AX42)</f>
        <v/>
      </c>
      <c r="BA42" s="106" t="str">
        <f aca="false">IF(OR(AY42="",AX42=0),"",(AY42-AX42)/AX42)</f>
        <v/>
      </c>
      <c r="BB42" s="119" t="n">
        <f aca="false">IF('⚙ Config &amp; Assumptions'!B41&gt;=1,B42,0)+IF('⚙ Config &amp; Assumptions'!B41&gt;=2,F42,0)+IF('⚙ Config &amp; Assumptions'!B41&gt;=3,J42,0)+IF('⚙ Config &amp; Assumptions'!B41&gt;=4,N42,0)+IF('⚙ Config &amp; Assumptions'!B41&gt;=5,R42,0)+IF('⚙ Config &amp; Assumptions'!B41&gt;=6,V42,0)+IF('⚙ Config &amp; Assumptions'!B41&gt;=7,Z42,0)+IF('⚙ Config &amp; Assumptions'!B41&gt;=8,AD42,0)+IF('⚙ Config &amp; Assumptions'!B41&gt;=9,AH42,0)+IF('⚙ Config &amp; Assumptions'!B41&gt;=10,AL42,0)+IF('⚙ Config &amp; Assumptions'!B41&gt;=11,AP42,0)+IF('⚙ Config &amp; Assumptions'!B41&gt;=12,AT42,0)</f>
        <v>10367</v>
      </c>
      <c r="BC42" s="119" t="n">
        <f aca="false">IF(AND('⚙ Config &amp; Assumptions'!B41&gt;=1,C42&lt;&gt;""),C42,0)+IF(AND('⚙ Config &amp; Assumptions'!B41&gt;=2,G42&lt;&gt;""),G42,0)+IF(AND('⚙ Config &amp; Assumptions'!B41&gt;=3,K42&lt;&gt;""),K42,0)+IF(AND('⚙ Config &amp; Assumptions'!B41&gt;=4,O42&lt;&gt;""),O42,0)+IF(AND('⚙ Config &amp; Assumptions'!B41&gt;=5,S42&lt;&gt;""),S42,0)+IF(AND('⚙ Config &amp; Assumptions'!B41&gt;=6,W42&lt;&gt;""),W42,0)+IF(AND('⚙ Config &amp; Assumptions'!B41&gt;=7,AA42&lt;&gt;""),AA42,0)+IF(AND('⚙ Config &amp; Assumptions'!B41&gt;=8,AE42&lt;&gt;""),AE42,0)+IF(AND('⚙ Config &amp; Assumptions'!B41&gt;=9,AI42&lt;&gt;""),AI42,0)+IF(AND('⚙ Config &amp; Assumptions'!B41&gt;=10,AM42&lt;&gt;""),AM42,0)+IF(AND('⚙ Config &amp; Assumptions'!B41&gt;=11,AQ42&lt;&gt;""),AQ42,0)+IF(AND('⚙ Config &amp; Assumptions'!B41&gt;=12,AU42&lt;&gt;""),AU42,0)</f>
        <v>0</v>
      </c>
      <c r="BD42" s="119" t="str">
        <f aca="false">IF(BC42=0,"",BC42-BB42)</f>
        <v/>
      </c>
      <c r="BE42" s="108" t="str">
        <f aca="false">IF(OR(BC42=0,BB42=0),"",(BC42-BB42)/BB42)</f>
        <v/>
      </c>
    </row>
  </sheetData>
  <mergeCells count="27">
    <mergeCell ref="A1:AV1"/>
    <mergeCell ref="A2:AV2"/>
    <mergeCell ref="B3:E3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AP3:AS3"/>
    <mergeCell ref="AT3:AW3"/>
    <mergeCell ref="AX3:BA3"/>
    <mergeCell ref="BB3:BE3"/>
    <mergeCell ref="A6:BE6"/>
    <mergeCell ref="A11:BE11"/>
    <mergeCell ref="A15:BE15"/>
    <mergeCell ref="A17:BE17"/>
    <mergeCell ref="A20:BE20"/>
    <mergeCell ref="A26:BE26"/>
    <mergeCell ref="A29:BE29"/>
    <mergeCell ref="A31:BE31"/>
    <mergeCell ref="A34:BE34"/>
    <mergeCell ref="A38:BE38"/>
    <mergeCell ref="A41:BE41"/>
  </mergeCells>
  <conditionalFormatting sqref="E6:E43">
    <cfRule type="cellIs" priority="2" operator="greaterThan" aboveAverage="0" equalAverage="0" bottom="0" percent="0" rank="0" text="" dxfId="0">
      <formula>'⚙ Config &amp; Assumptions'!B42</formula>
    </cfRule>
    <cfRule type="cellIs" priority="3" operator="lessThan" aboveAverage="0" equalAverage="0" bottom="0" percent="0" rank="0" text="" dxfId="1">
      <formula>'⚙ Config &amp; Assumptions'!B43</formula>
    </cfRule>
  </conditionalFormatting>
  <conditionalFormatting sqref="I6:I43">
    <cfRule type="cellIs" priority="4" operator="greaterThan" aboveAverage="0" equalAverage="0" bottom="0" percent="0" rank="0" text="" dxfId="0">
      <formula>'⚙ Config &amp; Assumptions'!B42</formula>
    </cfRule>
    <cfRule type="cellIs" priority="5" operator="lessThan" aboveAverage="0" equalAverage="0" bottom="0" percent="0" rank="0" text="" dxfId="1">
      <formula>'⚙ Config &amp; Assumptions'!B43</formula>
    </cfRule>
  </conditionalFormatting>
  <conditionalFormatting sqref="M6:M43">
    <cfRule type="cellIs" priority="6" operator="greaterThan" aboveAverage="0" equalAverage="0" bottom="0" percent="0" rank="0" text="" dxfId="0">
      <formula>'⚙ Config &amp; Assumptions'!B42</formula>
    </cfRule>
    <cfRule type="cellIs" priority="7" operator="lessThan" aboveAverage="0" equalAverage="0" bottom="0" percent="0" rank="0" text="" dxfId="1">
      <formula>'⚙ Config &amp; Assumptions'!B43</formula>
    </cfRule>
  </conditionalFormatting>
  <conditionalFormatting sqref="Q6:Q43">
    <cfRule type="cellIs" priority="8" operator="greaterThan" aboveAverage="0" equalAverage="0" bottom="0" percent="0" rank="0" text="" dxfId="0">
      <formula>'⚙ Config &amp; Assumptions'!B42</formula>
    </cfRule>
    <cfRule type="cellIs" priority="9" operator="lessThan" aboveAverage="0" equalAverage="0" bottom="0" percent="0" rank="0" text="" dxfId="1">
      <formula>'⚙ Config &amp; Assumptions'!B43</formula>
    </cfRule>
  </conditionalFormatting>
  <conditionalFormatting sqref="U6:U43">
    <cfRule type="cellIs" priority="10" operator="greaterThan" aboveAverage="0" equalAverage="0" bottom="0" percent="0" rank="0" text="" dxfId="0">
      <formula>'⚙ Config &amp; Assumptions'!B42</formula>
    </cfRule>
    <cfRule type="cellIs" priority="11" operator="lessThan" aboveAverage="0" equalAverage="0" bottom="0" percent="0" rank="0" text="" dxfId="1">
      <formula>'⚙ Config &amp; Assumptions'!B43</formula>
    </cfRule>
  </conditionalFormatting>
  <conditionalFormatting sqref="Y6:Y43">
    <cfRule type="cellIs" priority="12" operator="greaterThan" aboveAverage="0" equalAverage="0" bottom="0" percent="0" rank="0" text="" dxfId="0">
      <formula>'⚙ Config &amp; Assumptions'!B42</formula>
    </cfRule>
    <cfRule type="cellIs" priority="13" operator="lessThan" aboveAverage="0" equalAverage="0" bottom="0" percent="0" rank="0" text="" dxfId="1">
      <formula>'⚙ Config &amp; Assumptions'!B43</formula>
    </cfRule>
  </conditionalFormatting>
  <conditionalFormatting sqref="AC6:AC43">
    <cfRule type="cellIs" priority="14" operator="greaterThan" aboveAverage="0" equalAverage="0" bottom="0" percent="0" rank="0" text="" dxfId="0">
      <formula>'⚙ Config &amp; Assumptions'!B42</formula>
    </cfRule>
    <cfRule type="cellIs" priority="15" operator="lessThan" aboveAverage="0" equalAverage="0" bottom="0" percent="0" rank="0" text="" dxfId="1">
      <formula>'⚙ Config &amp; Assumptions'!B43</formula>
    </cfRule>
  </conditionalFormatting>
  <conditionalFormatting sqref="AG6:AG43">
    <cfRule type="cellIs" priority="16" operator="greaterThan" aboveAverage="0" equalAverage="0" bottom="0" percent="0" rank="0" text="" dxfId="0">
      <formula>'⚙ Config &amp; Assumptions'!B42</formula>
    </cfRule>
    <cfRule type="cellIs" priority="17" operator="lessThan" aboveAverage="0" equalAverage="0" bottom="0" percent="0" rank="0" text="" dxfId="1">
      <formula>'⚙ Config &amp; Assumptions'!B43</formula>
    </cfRule>
  </conditionalFormatting>
  <conditionalFormatting sqref="AK6:AK43">
    <cfRule type="cellIs" priority="18" operator="greaterThan" aboveAverage="0" equalAverage="0" bottom="0" percent="0" rank="0" text="" dxfId="0">
      <formula>'⚙ Config &amp; Assumptions'!B42</formula>
    </cfRule>
    <cfRule type="cellIs" priority="19" operator="lessThan" aboveAverage="0" equalAverage="0" bottom="0" percent="0" rank="0" text="" dxfId="1">
      <formula>'⚙ Config &amp; Assumptions'!B43</formula>
    </cfRule>
  </conditionalFormatting>
  <conditionalFormatting sqref="AO6:AO43">
    <cfRule type="cellIs" priority="20" operator="greaterThan" aboveAverage="0" equalAverage="0" bottom="0" percent="0" rank="0" text="" dxfId="0">
      <formula>'⚙ Config &amp; Assumptions'!B42</formula>
    </cfRule>
    <cfRule type="cellIs" priority="21" operator="lessThan" aboveAverage="0" equalAverage="0" bottom="0" percent="0" rank="0" text="" dxfId="1">
      <formula>'⚙ Config &amp; Assumptions'!B43</formula>
    </cfRule>
  </conditionalFormatting>
  <conditionalFormatting sqref="AS6:AS43">
    <cfRule type="cellIs" priority="22" operator="greaterThan" aboveAverage="0" equalAverage="0" bottom="0" percent="0" rank="0" text="" dxfId="0">
      <formula>'⚙ Config &amp; Assumptions'!B42</formula>
    </cfRule>
    <cfRule type="cellIs" priority="23" operator="lessThan" aboveAverage="0" equalAverage="0" bottom="0" percent="0" rank="0" text="" dxfId="1">
      <formula>'⚙ Config &amp; Assumptions'!B43</formula>
    </cfRule>
  </conditionalFormatting>
  <conditionalFormatting sqref="AW6:AW43">
    <cfRule type="cellIs" priority="24" operator="greaterThan" aboveAverage="0" equalAverage="0" bottom="0" percent="0" rank="0" text="" dxfId="0">
      <formula>'⚙ Config &amp; Assumptions'!B42</formula>
    </cfRule>
    <cfRule type="cellIs" priority="25" operator="lessThan" aboveAverage="0" equalAverage="0" bottom="0" percent="0" rank="0" text="" dxfId="1">
      <formula>'⚙ Config &amp; Assumptions'!B43</formula>
    </cfRule>
  </conditionalFormatting>
  <conditionalFormatting sqref="BA6:BA43">
    <cfRule type="cellIs" priority="26" operator="greaterThan" aboveAverage="0" equalAverage="0" bottom="0" percent="0" rank="0" text="" dxfId="0">
      <formula>'⚙ Config &amp; Assumptions'!B42</formula>
    </cfRule>
    <cfRule type="cellIs" priority="27" operator="lessThan" aboveAverage="0" equalAverage="0" bottom="0" percent="0" rank="0" text="" dxfId="1">
      <formula>'⚙ Config &amp; Assumptions'!B43</formula>
    </cfRule>
  </conditionalFormatting>
  <conditionalFormatting sqref="BE6:BE43">
    <cfRule type="cellIs" priority="28" operator="greaterThan" aboveAverage="0" equalAverage="0" bottom="0" percent="0" rank="0" text="" dxfId="0">
      <formula>'⚙ Config &amp; Assumptions'!B42</formula>
    </cfRule>
    <cfRule type="cellIs" priority="29" operator="lessThan" aboveAverage="0" equalAverage="0" bottom="0" percent="0" rank="0" text="" dxfId="1">
      <formula>'⚙ Config &amp; Assumptions'!B43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2026-05-26T08:37:11Z</dcterms:created>
  <dc:creator>openpyxl</dc:creator>
  <dc:description/>
  <dc:language>en-US</dc:language>
  <cp:lastModifiedBy/>
  <dcterms:modified xsi:type="dcterms:W3CDTF">2026-05-26T13:32:45Z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